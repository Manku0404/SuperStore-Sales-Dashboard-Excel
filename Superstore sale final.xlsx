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HP\Desktop\Projects\Project of Data Analytics\Portfolio\Excel\Superstore Sales (Excel)\"/>
    </mc:Choice>
  </mc:AlternateContent>
  <xr:revisionPtr revIDLastSave="0" documentId="13_ncr:1_{E582AC69-9CFF-45FB-B256-0AC6D6FB9A35}" xr6:coauthVersionLast="47" xr6:coauthVersionMax="47" xr10:uidLastSave="{00000000-0000-0000-0000-000000000000}"/>
  <bookViews>
    <workbookView xWindow="5760" yWindow="3360" windowWidth="17280" windowHeight="8880" activeTab="2" xr2:uid="{00000000-000D-0000-FFFF-FFFF00000000}"/>
  </bookViews>
  <sheets>
    <sheet name="Sales_Data" sheetId="1" r:id="rId1"/>
    <sheet name="Pivot" sheetId="2" r:id="rId2"/>
    <sheet name="Dashboard" sheetId="3" r:id="rId3"/>
  </sheets>
  <definedNames>
    <definedName name="Sales_data">Table1[]</definedName>
    <definedName name="Slicer_Category">#N/A</definedName>
    <definedName name="Slicer_Region">#N/A</definedName>
    <definedName name="Slicer_Salesperson">#N/A</definedName>
    <definedName name="Slicer_Segment">#N/A</definedName>
    <definedName name="Slicer_Ship_Mod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2" l="1"/>
  <c r="C9" i="2"/>
  <c r="D9" i="2"/>
  <c r="C2" i="2"/>
  <c r="F7" i="2"/>
  <c r="D14" i="2"/>
</calcChain>
</file>

<file path=xl/sharedStrings.xml><?xml version="1.0" encoding="utf-8"?>
<sst xmlns="http://schemas.openxmlformats.org/spreadsheetml/2006/main" count="12060" uniqueCount="1630">
  <si>
    <t>Order ID</t>
  </si>
  <si>
    <t>Order Date</t>
  </si>
  <si>
    <t>Ship Date</t>
  </si>
  <si>
    <t>Customer ID</t>
  </si>
  <si>
    <t>Customer Name</t>
  </si>
  <si>
    <t>Segment</t>
  </si>
  <si>
    <t>City</t>
  </si>
  <si>
    <t>State</t>
  </si>
  <si>
    <t>Region</t>
  </si>
  <si>
    <t>Category</t>
  </si>
  <si>
    <t>Sub-Category</t>
  </si>
  <si>
    <t>Product Name</t>
  </si>
  <si>
    <t>Sales</t>
  </si>
  <si>
    <t>Quantity</t>
  </si>
  <si>
    <t>Discount</t>
  </si>
  <si>
    <t>Profit</t>
  </si>
  <si>
    <t>Salesperson</t>
  </si>
  <si>
    <t>Ship Mode</t>
  </si>
  <si>
    <t>C1226</t>
  </si>
  <si>
    <t>Customer 179</t>
  </si>
  <si>
    <t>Consumer</t>
  </si>
  <si>
    <t>Pune</t>
  </si>
  <si>
    <t>Maharashtra</t>
  </si>
  <si>
    <t>West</t>
  </si>
  <si>
    <t>Technology</t>
  </si>
  <si>
    <t>Phone</t>
  </si>
  <si>
    <t>Phone Model 818</t>
  </si>
  <si>
    <t>Neha</t>
  </si>
  <si>
    <t>Same Day</t>
  </si>
  <si>
    <t>C1064</t>
  </si>
  <si>
    <t>Customer 87</t>
  </si>
  <si>
    <t>Home Office</t>
  </si>
  <si>
    <t>Lucknow</t>
  </si>
  <si>
    <t>Uttar Pradesh</t>
  </si>
  <si>
    <t>North</t>
  </si>
  <si>
    <t>Furniture</t>
  </si>
  <si>
    <t>Bookcase</t>
  </si>
  <si>
    <t>Bookcase Model 609</t>
  </si>
  <si>
    <t>Rahul</t>
  </si>
  <si>
    <t>Second Class</t>
  </si>
  <si>
    <t>C1230</t>
  </si>
  <si>
    <t>Customer 75</t>
  </si>
  <si>
    <t>Sofa</t>
  </si>
  <si>
    <t>Sofa Model 952</t>
  </si>
  <si>
    <t>C1262</t>
  </si>
  <si>
    <t>Customer 287</t>
  </si>
  <si>
    <t>Corporate</t>
  </si>
  <si>
    <t>Chennai</t>
  </si>
  <si>
    <t>Tamil Nadu</t>
  </si>
  <si>
    <t>South</t>
  </si>
  <si>
    <t>Keyboard</t>
  </si>
  <si>
    <t>Keyboard Model 483</t>
  </si>
  <si>
    <t>Vikas</t>
  </si>
  <si>
    <t>Standard Class</t>
  </si>
  <si>
    <t>C1274</t>
  </si>
  <si>
    <t>Customer 257</t>
  </si>
  <si>
    <t>Bhubaneswar</t>
  </si>
  <si>
    <t>Odisha</t>
  </si>
  <si>
    <t>East</t>
  </si>
  <si>
    <t>Chair</t>
  </si>
  <si>
    <t>Chair Model 878</t>
  </si>
  <si>
    <t>Rohit</t>
  </si>
  <si>
    <t>C1242</t>
  </si>
  <si>
    <t>Customer 280</t>
  </si>
  <si>
    <t>Office Supplies</t>
  </si>
  <si>
    <t>Binder</t>
  </si>
  <si>
    <t>Binder Model 684</t>
  </si>
  <si>
    <t>Sneha</t>
  </si>
  <si>
    <t>C1033</t>
  </si>
  <si>
    <t>Customer 264</t>
  </si>
  <si>
    <t>Kolkata</t>
  </si>
  <si>
    <t>West Bengal</t>
  </si>
  <si>
    <t>Monitor</t>
  </si>
  <si>
    <t>Monitor Model 516</t>
  </si>
  <si>
    <t>Amit</t>
  </si>
  <si>
    <t>C1026</t>
  </si>
  <si>
    <t>Customer 195</t>
  </si>
  <si>
    <t>Bookcase Model 270</t>
  </si>
  <si>
    <t>C1233</t>
  </si>
  <si>
    <t>Customer 115</t>
  </si>
  <si>
    <t>Paper</t>
  </si>
  <si>
    <t>Paper Model 468</t>
  </si>
  <si>
    <t>Karan</t>
  </si>
  <si>
    <t>C1196</t>
  </si>
  <si>
    <t>Customer 224</t>
  </si>
  <si>
    <t>Bengaluru</t>
  </si>
  <si>
    <t>Karnataka</t>
  </si>
  <si>
    <t>Phone Model 729</t>
  </si>
  <si>
    <t>C1197</t>
  </si>
  <si>
    <t>Customer 183</t>
  </si>
  <si>
    <t>Ahmedabad</t>
  </si>
  <si>
    <t>Gujarat</t>
  </si>
  <si>
    <t>Chair Model 746</t>
  </si>
  <si>
    <t>C1001</t>
  </si>
  <si>
    <t>Customer 2</t>
  </si>
  <si>
    <t>Mumbai</t>
  </si>
  <si>
    <t>Phone Model 204</t>
  </si>
  <si>
    <t>C1054</t>
  </si>
  <si>
    <t>Customer 11</t>
  </si>
  <si>
    <t>Monitor Model 251</t>
  </si>
  <si>
    <t>C1219</t>
  </si>
  <si>
    <t>Customer 55</t>
  </si>
  <si>
    <t>Patna</t>
  </si>
  <si>
    <t>Bihar</t>
  </si>
  <si>
    <t>Notebook</t>
  </si>
  <si>
    <t>Notebook Model 810</t>
  </si>
  <si>
    <t>Customer 197</t>
  </si>
  <si>
    <t>Jaipur</t>
  </si>
  <si>
    <t>Rajasthan</t>
  </si>
  <si>
    <t>Phone Model 528</t>
  </si>
  <si>
    <t>C1027</t>
  </si>
  <si>
    <t>Customer 153</t>
  </si>
  <si>
    <t>Hyderabad</t>
  </si>
  <si>
    <t>Telangana</t>
  </si>
  <si>
    <t>Bookcase Model 785</t>
  </si>
  <si>
    <t>Priya</t>
  </si>
  <si>
    <t>C1223</t>
  </si>
  <si>
    <t>Customer 67</t>
  </si>
  <si>
    <t>Delhi</t>
  </si>
  <si>
    <t>Paper Model 529</t>
  </si>
  <si>
    <t>First Class</t>
  </si>
  <si>
    <t>C1103</t>
  </si>
  <si>
    <t>Customer 144</t>
  </si>
  <si>
    <t>Notebook Model 915</t>
  </si>
  <si>
    <t>C1210</t>
  </si>
  <si>
    <t>Customer 186</t>
  </si>
  <si>
    <t>Chair Model 947</t>
  </si>
  <si>
    <t>C1113</t>
  </si>
  <si>
    <t>Customer 60</t>
  </si>
  <si>
    <t>Table</t>
  </si>
  <si>
    <t>Table Model 550</t>
  </si>
  <si>
    <t>C1220</t>
  </si>
  <si>
    <t>Customer 46</t>
  </si>
  <si>
    <t>Table Model 239</t>
  </si>
  <si>
    <t>C1253</t>
  </si>
  <si>
    <t>Customer 298</t>
  </si>
  <si>
    <t>Monitor Model 411</t>
  </si>
  <si>
    <t>C1134</t>
  </si>
  <si>
    <t>Customer 143</t>
  </si>
  <si>
    <t>Sofa Model 104</t>
  </si>
  <si>
    <t>C1195</t>
  </si>
  <si>
    <t>Chair Model 166</t>
  </si>
  <si>
    <t>C1209</t>
  </si>
  <si>
    <t>Customer 204</t>
  </si>
  <si>
    <t>Keyboard Model 667</t>
  </si>
  <si>
    <t>C1012</t>
  </si>
  <si>
    <t>Customer 68</t>
  </si>
  <si>
    <t>Chair Model 857</t>
  </si>
  <si>
    <t>C1293</t>
  </si>
  <si>
    <t>Customer 187</t>
  </si>
  <si>
    <t>Sofa Model 894</t>
  </si>
  <si>
    <t>C1154</t>
  </si>
  <si>
    <t>Chair Model 593</t>
  </si>
  <si>
    <t>Customer 123</t>
  </si>
  <si>
    <t>Table Model 180</t>
  </si>
  <si>
    <t>C1127</t>
  </si>
  <si>
    <t>Customer 129</t>
  </si>
  <si>
    <t>Storage</t>
  </si>
  <si>
    <t>Storage Model 590</t>
  </si>
  <si>
    <t>C1166</t>
  </si>
  <si>
    <t>Customer 176</t>
  </si>
  <si>
    <t>Paper Model 105</t>
  </si>
  <si>
    <t>C1019</t>
  </si>
  <si>
    <t>Customer 40</t>
  </si>
  <si>
    <t>Binder Model 609</t>
  </si>
  <si>
    <t>Customer 94</t>
  </si>
  <si>
    <t>Storage Model 418</t>
  </si>
  <si>
    <t>C1173</t>
  </si>
  <si>
    <t>Customer 113</t>
  </si>
  <si>
    <t>Monitor Model 722</t>
  </si>
  <si>
    <t>C1083</t>
  </si>
  <si>
    <t>Customer 109</t>
  </si>
  <si>
    <t>Phone Model 804</t>
  </si>
  <si>
    <t>C1135</t>
  </si>
  <si>
    <t>Bookcase Model 179</t>
  </si>
  <si>
    <t>Customer 228</t>
  </si>
  <si>
    <t>Phone Model 675</t>
  </si>
  <si>
    <t>C1272</t>
  </si>
  <si>
    <t>Customer 239</t>
  </si>
  <si>
    <t>Sofa Model 514</t>
  </si>
  <si>
    <t>C1061</t>
  </si>
  <si>
    <t>Customer 260</t>
  </si>
  <si>
    <t>Monitor Model 860</t>
  </si>
  <si>
    <t>C1179</t>
  </si>
  <si>
    <t>Customer 185</t>
  </si>
  <si>
    <t>Bookcase Model 524</t>
  </si>
  <si>
    <t>C1125</t>
  </si>
  <si>
    <t>Customer 31</t>
  </si>
  <si>
    <t>Pen</t>
  </si>
  <si>
    <t>Pen Model 692</t>
  </si>
  <si>
    <t>C1208</t>
  </si>
  <si>
    <t>Customer 155</t>
  </si>
  <si>
    <t>Table Model 220</t>
  </si>
  <si>
    <t>C1094</t>
  </si>
  <si>
    <t>Customer 36</t>
  </si>
  <si>
    <t>Monitor Model 817</t>
  </si>
  <si>
    <t>C1100</t>
  </si>
  <si>
    <t>Customer 13</t>
  </si>
  <si>
    <t>Sofa Model 678</t>
  </si>
  <si>
    <t>C1109</t>
  </si>
  <si>
    <t>Customer 158</t>
  </si>
  <si>
    <t>Notebook Model 517</t>
  </si>
  <si>
    <t>Customer 99</t>
  </si>
  <si>
    <t>Storage Model 556</t>
  </si>
  <si>
    <t>C1023</t>
  </si>
  <si>
    <t>Customer 175</t>
  </si>
  <si>
    <t>Phone Model 702</t>
  </si>
  <si>
    <t>Bookcase Model 796</t>
  </si>
  <si>
    <t>C1162</t>
  </si>
  <si>
    <t>Table Model 780</t>
  </si>
  <si>
    <t>C1050</t>
  </si>
  <si>
    <t>Customer 281</t>
  </si>
  <si>
    <t>Laptop</t>
  </si>
  <si>
    <t>Laptop Model 260</t>
  </si>
  <si>
    <t>C1131</t>
  </si>
  <si>
    <t>Customer 58</t>
  </si>
  <si>
    <t>Sofa Model 608</t>
  </si>
  <si>
    <t>C1297</t>
  </si>
  <si>
    <t>Customer 127</t>
  </si>
  <si>
    <t>Bookcase Model 678</t>
  </si>
  <si>
    <t>C1024</t>
  </si>
  <si>
    <t>Customer 105</t>
  </si>
  <si>
    <t>Storage Model 200</t>
  </si>
  <si>
    <t>C1082</t>
  </si>
  <si>
    <t>Mouse</t>
  </si>
  <si>
    <t>Mouse Model 219</t>
  </si>
  <si>
    <t>C1198</t>
  </si>
  <si>
    <t>Customer 272</t>
  </si>
  <si>
    <t>Binder Model 270</t>
  </si>
  <si>
    <t>Customer 132</t>
  </si>
  <si>
    <t>Paper Model 770</t>
  </si>
  <si>
    <t>C1149</t>
  </si>
  <si>
    <t>Customer 289</t>
  </si>
  <si>
    <t>Paper Model 440</t>
  </si>
  <si>
    <t>C1031</t>
  </si>
  <si>
    <t>Customer 51</t>
  </si>
  <si>
    <t>Binder Model 878</t>
  </si>
  <si>
    <t>C1184</t>
  </si>
  <si>
    <t>Customer 245</t>
  </si>
  <si>
    <t>Phone Model 642</t>
  </si>
  <si>
    <t>C1260</t>
  </si>
  <si>
    <t>Customer 300</t>
  </si>
  <si>
    <t>Laptop Model 904</t>
  </si>
  <si>
    <t>C1234</t>
  </si>
  <si>
    <t>Customer 284</t>
  </si>
  <si>
    <t>Pen Model 474</t>
  </si>
  <si>
    <t>C1178</t>
  </si>
  <si>
    <t>Customer 73</t>
  </si>
  <si>
    <t>Paper Model 121</t>
  </si>
  <si>
    <t>C1143</t>
  </si>
  <si>
    <t>Binder Model 363</t>
  </si>
  <si>
    <t>C1088</t>
  </si>
  <si>
    <t>Customer 133</t>
  </si>
  <si>
    <t>Storage Model 972</t>
  </si>
  <si>
    <t>C1256</t>
  </si>
  <si>
    <t>Paper Model 146</t>
  </si>
  <si>
    <t>C1156</t>
  </si>
  <si>
    <t>Customer 57</t>
  </si>
  <si>
    <t>Storage Model 439</t>
  </si>
  <si>
    <t>C1284</t>
  </si>
  <si>
    <t>Customer 261</t>
  </si>
  <si>
    <t>Phone Model 305</t>
  </si>
  <si>
    <t>C1068</t>
  </si>
  <si>
    <t>Chair Model 954</t>
  </si>
  <si>
    <t>C1080</t>
  </si>
  <si>
    <t>Customer 104</t>
  </si>
  <si>
    <t>Storage Model 219</t>
  </si>
  <si>
    <t>C1093</t>
  </si>
  <si>
    <t>Customer 297</t>
  </si>
  <si>
    <t>Table Model 156</t>
  </si>
  <si>
    <t>Customer 150</t>
  </si>
  <si>
    <t>Monitor Model 236</t>
  </si>
  <si>
    <t>C1053</t>
  </si>
  <si>
    <t>Customer 184</t>
  </si>
  <si>
    <t>Monitor Model 324</t>
  </si>
  <si>
    <t>C1091</t>
  </si>
  <si>
    <t>Laptop Model 954</t>
  </si>
  <si>
    <t>C1144</t>
  </si>
  <si>
    <t>Customer 50</t>
  </si>
  <si>
    <t>Notebook Model 410</t>
  </si>
  <si>
    <t>C1037</t>
  </si>
  <si>
    <t>Customer 181</t>
  </si>
  <si>
    <t>Chair Model 751</t>
  </si>
  <si>
    <t>C1057</t>
  </si>
  <si>
    <t>Customer 124</t>
  </si>
  <si>
    <t>Storage Model 431</t>
  </si>
  <si>
    <t>C1176</t>
  </si>
  <si>
    <t>Customer 216</t>
  </si>
  <si>
    <t>Pen Model 578</t>
  </si>
  <si>
    <t>C1169</t>
  </si>
  <si>
    <t>Customer 21</t>
  </si>
  <si>
    <t>Keyboard Model 923</t>
  </si>
  <si>
    <t>C1300</t>
  </si>
  <si>
    <t>Customer 38</t>
  </si>
  <si>
    <t>Storage Model 217</t>
  </si>
  <si>
    <t>C1137</t>
  </si>
  <si>
    <t>Notebook Model 709</t>
  </si>
  <si>
    <t>C1096</t>
  </si>
  <si>
    <t>Paper Model 603</t>
  </si>
  <si>
    <t>Customer 273</t>
  </si>
  <si>
    <t>Sofa Model 262</t>
  </si>
  <si>
    <t>Customer 262</t>
  </si>
  <si>
    <t>Paper Model 578</t>
  </si>
  <si>
    <t>Customer 22</t>
  </si>
  <si>
    <t>Storage Model 808</t>
  </si>
  <si>
    <t>C1160</t>
  </si>
  <si>
    <t>Customer 20</t>
  </si>
  <si>
    <t>Laptop Model 400</t>
  </si>
  <si>
    <t>C1285</t>
  </si>
  <si>
    <t>Customer 157</t>
  </si>
  <si>
    <t>Storage Model 754</t>
  </si>
  <si>
    <t>C1032</t>
  </si>
  <si>
    <t>Customer 85</t>
  </si>
  <si>
    <t>Notebook Model 964</t>
  </si>
  <si>
    <t>C1121</t>
  </si>
  <si>
    <t>Chair Model 263</t>
  </si>
  <si>
    <t>C1207</t>
  </si>
  <si>
    <t>Bookcase Model 707</t>
  </si>
  <si>
    <t>C1078</t>
  </si>
  <si>
    <t>Customer 12</t>
  </si>
  <si>
    <t>Sofa Model 503</t>
  </si>
  <si>
    <t>Storage Model 811</t>
  </si>
  <si>
    <t>C1263</t>
  </si>
  <si>
    <t>Customer 6</t>
  </si>
  <si>
    <t>Chair Model 830</t>
  </si>
  <si>
    <t>C1175</t>
  </si>
  <si>
    <t>Customer 200</t>
  </si>
  <si>
    <t>Storage Model 870</t>
  </si>
  <si>
    <t>Customer 134</t>
  </si>
  <si>
    <t>Storage Model 733</t>
  </si>
  <si>
    <t>C1003</t>
  </si>
  <si>
    <t>Customer 168</t>
  </si>
  <si>
    <t>Pen Model 258</t>
  </si>
  <si>
    <t>C1212</t>
  </si>
  <si>
    <t>Monitor Model 997</t>
  </si>
  <si>
    <t>Customer 238</t>
  </si>
  <si>
    <t>Sofa Model 845</t>
  </si>
  <si>
    <t>C1017</t>
  </si>
  <si>
    <t>Customer 206</t>
  </si>
  <si>
    <t>Table Model 534</t>
  </si>
  <si>
    <t>C1098</t>
  </si>
  <si>
    <t>Notebook Model 325</t>
  </si>
  <si>
    <t>C1292</t>
  </si>
  <si>
    <t>Customer 295</t>
  </si>
  <si>
    <t>Pen Model 423</t>
  </si>
  <si>
    <t>C1048</t>
  </si>
  <si>
    <t>Customer 119</t>
  </si>
  <si>
    <t>Storage Model 762</t>
  </si>
  <si>
    <t>C1009</t>
  </si>
  <si>
    <t>Customer 93</t>
  </si>
  <si>
    <t>Chair Model 347</t>
  </si>
  <si>
    <t>C1084</t>
  </si>
  <si>
    <t>Laptop Model 438</t>
  </si>
  <si>
    <t>Customer 208</t>
  </si>
  <si>
    <t>Phone Model 479</t>
  </si>
  <si>
    <t>C1110</t>
  </si>
  <si>
    <t>Customer 165</t>
  </si>
  <si>
    <t>Storage Model 394</t>
  </si>
  <si>
    <t>C1228</t>
  </si>
  <si>
    <t>Customer 130</t>
  </si>
  <si>
    <t>Bookcase Model 507</t>
  </si>
  <si>
    <t>C1170</t>
  </si>
  <si>
    <t>Customer 205</t>
  </si>
  <si>
    <t>Storage Model 565</t>
  </si>
  <si>
    <t>C1045</t>
  </si>
  <si>
    <t>Customer 53</t>
  </si>
  <si>
    <t>Notebook Model 307</t>
  </si>
  <si>
    <t>C1270</t>
  </si>
  <si>
    <t>Customer 162</t>
  </si>
  <si>
    <t>Sofa Model 905</t>
  </si>
  <si>
    <t>C1105</t>
  </si>
  <si>
    <t>Customer 128</t>
  </si>
  <si>
    <t>Paper Model 188</t>
  </si>
  <si>
    <t>Customer 92</t>
  </si>
  <si>
    <t>Bookcase Model 152</t>
  </si>
  <si>
    <t>C1071</t>
  </si>
  <si>
    <t>Phone Model 192</t>
  </si>
  <si>
    <t>C1035</t>
  </si>
  <si>
    <t>Customer 270</t>
  </si>
  <si>
    <t>Phone Model 219</t>
  </si>
  <si>
    <t>C1202</t>
  </si>
  <si>
    <t>Customer 43</t>
  </si>
  <si>
    <t>Storage Model 805</t>
  </si>
  <si>
    <t>C1022</t>
  </si>
  <si>
    <t>Customer 154</t>
  </si>
  <si>
    <t>Sofa Model 671</t>
  </si>
  <si>
    <t>C1132</t>
  </si>
  <si>
    <t>Customer 217</t>
  </si>
  <si>
    <t>Notebook Model 470</t>
  </si>
  <si>
    <t>Customer 233</t>
  </si>
  <si>
    <t>Keyboard Model 322</t>
  </si>
  <si>
    <t>C1192</t>
  </si>
  <si>
    <t>Mouse Model 757</t>
  </si>
  <si>
    <t>C1280</t>
  </si>
  <si>
    <t>Customer 142</t>
  </si>
  <si>
    <t>Storage Model 625</t>
  </si>
  <si>
    <t>C1036</t>
  </si>
  <si>
    <t>Customer 255</t>
  </si>
  <si>
    <t>Bookcase Model 779</t>
  </si>
  <si>
    <t>C1021</t>
  </si>
  <si>
    <t>Customer 116</t>
  </si>
  <si>
    <t>Table Model 472</t>
  </si>
  <si>
    <t>C1273</t>
  </si>
  <si>
    <t>Bookcase Model 913</t>
  </si>
  <si>
    <t>Customer 291</t>
  </si>
  <si>
    <t>Phone Model 406</t>
  </si>
  <si>
    <t>Customer 49</t>
  </si>
  <si>
    <t>Sofa Model 230</t>
  </si>
  <si>
    <t>C1140</t>
  </si>
  <si>
    <t>Table Model 737</t>
  </si>
  <si>
    <t>C1235</t>
  </si>
  <si>
    <t>Binder Model 732</t>
  </si>
  <si>
    <t>C1115</t>
  </si>
  <si>
    <t>Phone Model 713</t>
  </si>
  <si>
    <t>C1069</t>
  </si>
  <si>
    <t>Paper Model 617</t>
  </si>
  <si>
    <t>Customer 90</t>
  </si>
  <si>
    <t>Notebook Model 313</t>
  </si>
  <si>
    <t>C1247</t>
  </si>
  <si>
    <t>Customer 174</t>
  </si>
  <si>
    <t>Storage Model 533</t>
  </si>
  <si>
    <t>Customer 44</t>
  </si>
  <si>
    <t>Table Model 333</t>
  </si>
  <si>
    <t>C1101</t>
  </si>
  <si>
    <t>Mouse Model 541</t>
  </si>
  <si>
    <t>C1055</t>
  </si>
  <si>
    <t>Paper Model 640</t>
  </si>
  <si>
    <t>Customer 28</t>
  </si>
  <si>
    <t>Binder Model 739</t>
  </si>
  <si>
    <t>C1119</t>
  </si>
  <si>
    <t>Storage Model 227</t>
  </si>
  <si>
    <t>C1002</t>
  </si>
  <si>
    <t>Customer 190</t>
  </si>
  <si>
    <t>Notebook Model 173</t>
  </si>
  <si>
    <t>Customer 271</t>
  </si>
  <si>
    <t>Sofa Model 466</t>
  </si>
  <si>
    <t>Paper Model 823</t>
  </si>
  <si>
    <t>C1248</t>
  </si>
  <si>
    <t>Customer 65</t>
  </si>
  <si>
    <t>Keyboard Model 716</t>
  </si>
  <si>
    <t>C1086</t>
  </si>
  <si>
    <t>Customer 268</t>
  </si>
  <si>
    <t>Bookcase Model 853</t>
  </si>
  <si>
    <t>Sofa Model 691</t>
  </si>
  <si>
    <t>Customer 64</t>
  </si>
  <si>
    <t>Laptop Model 263</t>
  </si>
  <si>
    <t>C1133</t>
  </si>
  <si>
    <t>Customer 219</t>
  </si>
  <si>
    <t>Storage Model 993</t>
  </si>
  <si>
    <t>C1269</t>
  </si>
  <si>
    <t>Sofa Model 154</t>
  </si>
  <si>
    <t>Customer 265</t>
  </si>
  <si>
    <t>Table Model 147</t>
  </si>
  <si>
    <t>C1201</t>
  </si>
  <si>
    <t>Customer 108</t>
  </si>
  <si>
    <t>Storage Model 406</t>
  </si>
  <si>
    <t>Customer 232</t>
  </si>
  <si>
    <t>Laptop Model 122</t>
  </si>
  <si>
    <t>C1174</t>
  </si>
  <si>
    <t>Customer 285</t>
  </si>
  <si>
    <t>Mouse Model 984</t>
  </si>
  <si>
    <t>C1199</t>
  </si>
  <si>
    <t>Customer 152</t>
  </si>
  <si>
    <t>Phone Model 315</t>
  </si>
  <si>
    <t>C1034</t>
  </si>
  <si>
    <t>Customer 56</t>
  </si>
  <si>
    <t>Laptop Model 199</t>
  </si>
  <si>
    <t>C1145</t>
  </si>
  <si>
    <t>Customer 242</t>
  </si>
  <si>
    <t>Bookcase Model 445</t>
  </si>
  <si>
    <t>Customer 286</t>
  </si>
  <si>
    <t>Sofa Model 396</t>
  </si>
  <si>
    <t>C1276</t>
  </si>
  <si>
    <t>Customer 194</t>
  </si>
  <si>
    <t>Chair Model 798</t>
  </si>
  <si>
    <t>C1246</t>
  </si>
  <si>
    <t>Monitor Model 280</t>
  </si>
  <si>
    <t>Customer 227</t>
  </si>
  <si>
    <t>Keyboard Model 235</t>
  </si>
  <si>
    <t>Customer 235</t>
  </si>
  <si>
    <t>Bookcase Model 736</t>
  </si>
  <si>
    <t>Customer 211</t>
  </si>
  <si>
    <t>Paper Model 533</t>
  </si>
  <si>
    <t>C1010</t>
  </si>
  <si>
    <t>Customer 39</t>
  </si>
  <si>
    <t>Paper Model 376</t>
  </si>
  <si>
    <t>Customer 198</t>
  </si>
  <si>
    <t>Storage Model 161</t>
  </si>
  <si>
    <t>C1011</t>
  </si>
  <si>
    <t>Customer 41</t>
  </si>
  <si>
    <t>Paper Model 959</t>
  </si>
  <si>
    <t>C1051</t>
  </si>
  <si>
    <t>Phone Model 946</t>
  </si>
  <si>
    <t>Customer 278</t>
  </si>
  <si>
    <t>Pen Model 174</t>
  </si>
  <si>
    <t>Customer 62</t>
  </si>
  <si>
    <t>Phone Model 118</t>
  </si>
  <si>
    <t>C1203</t>
  </si>
  <si>
    <t>Customer 102</t>
  </si>
  <si>
    <t>Paper Model 175</t>
  </si>
  <si>
    <t>C1255</t>
  </si>
  <si>
    <t>Customer 71</t>
  </si>
  <si>
    <t>Keyboard Model 911</t>
  </si>
  <si>
    <t>C1120</t>
  </si>
  <si>
    <t>Customer 267</t>
  </si>
  <si>
    <t>Bookcase Model 930</t>
  </si>
  <si>
    <t>Chair Model 792</t>
  </si>
  <si>
    <t>C1112</t>
  </si>
  <si>
    <t>Customer 80</t>
  </si>
  <si>
    <t>Mouse Model 546</t>
  </si>
  <si>
    <t>Customer 210</t>
  </si>
  <si>
    <t>Chair Model 354</t>
  </si>
  <si>
    <t>C1107</t>
  </si>
  <si>
    <t>Customer 8</t>
  </si>
  <si>
    <t>Table Model 724</t>
  </si>
  <si>
    <t>C1186</t>
  </si>
  <si>
    <t>Customer 100</t>
  </si>
  <si>
    <t>Binder Model 322</t>
  </si>
  <si>
    <t>C1060</t>
  </si>
  <si>
    <t>Customer 91</t>
  </si>
  <si>
    <t>Table Model 806</t>
  </si>
  <si>
    <t>Pen Model 117</t>
  </si>
  <si>
    <t>Customer 191</t>
  </si>
  <si>
    <t>Table Model 184</t>
  </si>
  <si>
    <t>Sofa Model 753</t>
  </si>
  <si>
    <t>Customer 288</t>
  </si>
  <si>
    <t>Chair Model 665</t>
  </si>
  <si>
    <t>Storage Model 123</t>
  </si>
  <si>
    <t>Table Model 783</t>
  </si>
  <si>
    <t>C1164</t>
  </si>
  <si>
    <t>Table Model 209</t>
  </si>
  <si>
    <t>Monitor Model 789</t>
  </si>
  <si>
    <t>C1128</t>
  </si>
  <si>
    <t>Customer 213</t>
  </si>
  <si>
    <t>Keyboard Model 620</t>
  </si>
  <si>
    <t>Pen Model 558</t>
  </si>
  <si>
    <t>Customer 247</t>
  </si>
  <si>
    <t>Notebook Model 588</t>
  </si>
  <si>
    <t>C1129</t>
  </si>
  <si>
    <t>Binder Model 812</t>
  </si>
  <si>
    <t>C1092</t>
  </si>
  <si>
    <t>Binder Model 560</t>
  </si>
  <si>
    <t>Customer 226</t>
  </si>
  <si>
    <t>Notebook Model 740</t>
  </si>
  <si>
    <t>Phone Model 410</t>
  </si>
  <si>
    <t>C1181</t>
  </si>
  <si>
    <t>Monitor Model 753</t>
  </si>
  <si>
    <t>Binder Model 787</t>
  </si>
  <si>
    <t>Keyboard Model 627</t>
  </si>
  <si>
    <t>C1047</t>
  </si>
  <si>
    <t>Customer 178</t>
  </si>
  <si>
    <t>Mouse Model 649</t>
  </si>
  <si>
    <t>C1294</t>
  </si>
  <si>
    <t>Customer 203</t>
  </si>
  <si>
    <t>Chair Model 700</t>
  </si>
  <si>
    <t>Chair Model 374</t>
  </si>
  <si>
    <t>C1271</t>
  </si>
  <si>
    <t>Chair Model 969</t>
  </si>
  <si>
    <t>C1282</t>
  </si>
  <si>
    <t>Bookcase Model 845</t>
  </si>
  <si>
    <t>Sofa Model 595</t>
  </si>
  <si>
    <t>C1189</t>
  </si>
  <si>
    <t>Monitor Model 206</t>
  </si>
  <si>
    <t>C1008</t>
  </si>
  <si>
    <t>Table Model 839</t>
  </si>
  <si>
    <t>C1126</t>
  </si>
  <si>
    <t>Customer 47</t>
  </si>
  <si>
    <t>Bookcase Model 830</t>
  </si>
  <si>
    <t>C1264</t>
  </si>
  <si>
    <t>Pen Model 956</t>
  </si>
  <si>
    <t>C1277</t>
  </si>
  <si>
    <t>Monitor Model 175</t>
  </si>
  <si>
    <t>C1211</t>
  </si>
  <si>
    <t>Customer 4</t>
  </si>
  <si>
    <t>Bookcase Model 955</t>
  </si>
  <si>
    <t>C1241</t>
  </si>
  <si>
    <t>Monitor Model 121</t>
  </si>
  <si>
    <t>Bookcase Model 335</t>
  </si>
  <si>
    <t>C1052</t>
  </si>
  <si>
    <t>Chair Model 127</t>
  </si>
  <si>
    <t>C1020</t>
  </si>
  <si>
    <t>Customer 61</t>
  </si>
  <si>
    <t>Sofa Model 980</t>
  </si>
  <si>
    <t>Mouse Model 259</t>
  </si>
  <si>
    <t>Customer 79</t>
  </si>
  <si>
    <t>Storage Model 929</t>
  </si>
  <si>
    <t>C1258</t>
  </si>
  <si>
    <t>Monitor Model 800</t>
  </si>
  <si>
    <t>Binder Model 190</t>
  </si>
  <si>
    <t>Customer 118</t>
  </si>
  <si>
    <t>Table Model 316</t>
  </si>
  <si>
    <t>C1286</t>
  </si>
  <si>
    <t>Customer 215</t>
  </si>
  <si>
    <t>Pen Model 520</t>
  </si>
  <si>
    <t>Monitor Model 898</t>
  </si>
  <si>
    <t>Customer 121</t>
  </si>
  <si>
    <t>Mouse Model 255</t>
  </si>
  <si>
    <t>Keyboard Model 129</t>
  </si>
  <si>
    <t>Paper Model 692</t>
  </si>
  <si>
    <t>C1204</t>
  </si>
  <si>
    <t>Customer 18</t>
  </si>
  <si>
    <t>Keyboard Model 245</t>
  </si>
  <si>
    <t>C1244</t>
  </si>
  <si>
    <t>Mouse Model 979</t>
  </si>
  <si>
    <t>Table Model 105</t>
  </si>
  <si>
    <t>C1141</t>
  </si>
  <si>
    <t>Keyboard Model 426</t>
  </si>
  <si>
    <t>Customer 193</t>
  </si>
  <si>
    <t>Pen Model 641</t>
  </si>
  <si>
    <t>C1040</t>
  </si>
  <si>
    <t>Monitor Model 538</t>
  </si>
  <si>
    <t>C1148</t>
  </si>
  <si>
    <t>Chair Model 237</t>
  </si>
  <si>
    <t>C1039</t>
  </si>
  <si>
    <t>Table Model 211</t>
  </si>
  <si>
    <t>C1030</t>
  </si>
  <si>
    <t>Sofa Model 642</t>
  </si>
  <si>
    <t>Phone Model 616</t>
  </si>
  <si>
    <t>C1155</t>
  </si>
  <si>
    <t>Customer 83</t>
  </si>
  <si>
    <t>Paper Model 577</t>
  </si>
  <si>
    <t>C1193</t>
  </si>
  <si>
    <t>Notebook Model 987</t>
  </si>
  <si>
    <t>Pen Model 191</t>
  </si>
  <si>
    <t>Keyboard Model 845</t>
  </si>
  <si>
    <t>Chair Model 140</t>
  </si>
  <si>
    <t>Customer 221</t>
  </si>
  <si>
    <t>Storage Model 393</t>
  </si>
  <si>
    <t>C1073</t>
  </si>
  <si>
    <t>Customer 171</t>
  </si>
  <si>
    <t>Storage Model 427</t>
  </si>
  <si>
    <t>Customer 106</t>
  </si>
  <si>
    <t>Notebook Model 574</t>
  </si>
  <si>
    <t>Pen Model 358</t>
  </si>
  <si>
    <t>Customer 274</t>
  </si>
  <si>
    <t>Pen Model 541</t>
  </si>
  <si>
    <t>C1065</t>
  </si>
  <si>
    <t>Customer 84</t>
  </si>
  <si>
    <t>Laptop Model 973</t>
  </si>
  <si>
    <t>Customer 292</t>
  </si>
  <si>
    <t>Keyboard Model 857</t>
  </si>
  <si>
    <t>C1114</t>
  </si>
  <si>
    <t>Pen Model 550</t>
  </si>
  <si>
    <t>C1238</t>
  </si>
  <si>
    <t>Customer 17</t>
  </si>
  <si>
    <t>Notebook Model 744</t>
  </si>
  <si>
    <t>Customer 188</t>
  </si>
  <si>
    <t>Laptop Model 382</t>
  </si>
  <si>
    <t>C1257</t>
  </si>
  <si>
    <t>Customer 15</t>
  </si>
  <si>
    <t>Pen Model 644</t>
  </si>
  <si>
    <t>C1090</t>
  </si>
  <si>
    <t>Phone Model 724</t>
  </si>
  <si>
    <t>Storage Model 622</t>
  </si>
  <si>
    <t>Customer 111</t>
  </si>
  <si>
    <t>Table Model 646</t>
  </si>
  <si>
    <t>Customer 180</t>
  </si>
  <si>
    <t>Monitor Model 953</t>
  </si>
  <si>
    <t>C1097</t>
  </si>
  <si>
    <t>Customer 148</t>
  </si>
  <si>
    <t>Table Model 301</t>
  </si>
  <si>
    <t>Sofa Model 563</t>
  </si>
  <si>
    <t>Customer 54</t>
  </si>
  <si>
    <t>Storage Model 222</t>
  </si>
  <si>
    <t>C1038</t>
  </si>
  <si>
    <t>Phone Model 658</t>
  </si>
  <si>
    <t>C1215</t>
  </si>
  <si>
    <t>Sofa Model 204</t>
  </si>
  <si>
    <t>Sofa Model 867</t>
  </si>
  <si>
    <t>Customer 202</t>
  </si>
  <si>
    <t>Sofa Model 587</t>
  </si>
  <si>
    <t>Customer 296</t>
  </si>
  <si>
    <t>Paper Model 793</t>
  </si>
  <si>
    <t>C1104</t>
  </si>
  <si>
    <t>Phone Model 560</t>
  </si>
  <si>
    <t>Customer 170</t>
  </si>
  <si>
    <t>Chair Model 556</t>
  </si>
  <si>
    <t>C1217</t>
  </si>
  <si>
    <t>Table Model 415</t>
  </si>
  <si>
    <t>Chair Model 369</t>
  </si>
  <si>
    <t>C1188</t>
  </si>
  <si>
    <t>Bookcase Model 586</t>
  </si>
  <si>
    <t>Customer 66</t>
  </si>
  <si>
    <t>Pen Model 697</t>
  </si>
  <si>
    <t>C1250</t>
  </si>
  <si>
    <t>Customer 192</t>
  </si>
  <si>
    <t>Table Model 800</t>
  </si>
  <si>
    <t>C1182</t>
  </si>
  <si>
    <t>Monitor Model 111</t>
  </si>
  <si>
    <t>C1151</t>
  </si>
  <si>
    <t>Customer 283</t>
  </si>
  <si>
    <t>Mouse Model 765</t>
  </si>
  <si>
    <t>Binder Model 855</t>
  </si>
  <si>
    <t>Storage Model 503</t>
  </si>
  <si>
    <t>Customer 209</t>
  </si>
  <si>
    <t>Keyboard Model 997</t>
  </si>
  <si>
    <t>C1087</t>
  </si>
  <si>
    <t>Customer 29</t>
  </si>
  <si>
    <t>Chair Model 749</t>
  </si>
  <si>
    <t>C1275</t>
  </si>
  <si>
    <t>C1063</t>
  </si>
  <si>
    <t>Binder Model 138</t>
  </si>
  <si>
    <t>C1006</t>
  </si>
  <si>
    <t>Mouse Model 675</t>
  </si>
  <si>
    <t>C1016</t>
  </si>
  <si>
    <t>Sofa Model 868</t>
  </si>
  <si>
    <t>Customer 103</t>
  </si>
  <si>
    <t>Monitor Model 723</t>
  </si>
  <si>
    <t>C1265</t>
  </si>
  <si>
    <t>Keyboard Model 508</t>
  </si>
  <si>
    <t>Monitor Model 253</t>
  </si>
  <si>
    <t>C1099</t>
  </si>
  <si>
    <t>Laptop Model 376</t>
  </si>
  <si>
    <t>Sofa Model 232</t>
  </si>
  <si>
    <t>Paper Model 924</t>
  </si>
  <si>
    <t>Paper Model 165</t>
  </si>
  <si>
    <t>Keyboard Model 900</t>
  </si>
  <si>
    <t>Customer 249</t>
  </si>
  <si>
    <t>Table Model 201</t>
  </si>
  <si>
    <t>Customer 240</t>
  </si>
  <si>
    <t>Chair Model 944</t>
  </si>
  <si>
    <t>C1070</t>
  </si>
  <si>
    <t>Phone Model 473</t>
  </si>
  <si>
    <t>Customer 166</t>
  </si>
  <si>
    <t>Laptop Model 452</t>
  </si>
  <si>
    <t>C1067</t>
  </si>
  <si>
    <t>Pen Model 151</t>
  </si>
  <si>
    <t>Monitor Model 160</t>
  </si>
  <si>
    <t>Customer 253</t>
  </si>
  <si>
    <t>Phone Model 458</t>
  </si>
  <si>
    <t>Customer 151</t>
  </si>
  <si>
    <t>Pen Model 907</t>
  </si>
  <si>
    <t>C1225</t>
  </si>
  <si>
    <t>Customer 86</t>
  </si>
  <si>
    <t>Laptop Model 831</t>
  </si>
  <si>
    <t>C1183</t>
  </si>
  <si>
    <t>Chair Model 112</t>
  </si>
  <si>
    <t>Customer 167</t>
  </si>
  <si>
    <t>Mouse Model 256</t>
  </si>
  <si>
    <t>C1079</t>
  </si>
  <si>
    <t>Customer 107</t>
  </si>
  <si>
    <t>Sofa Model 907</t>
  </si>
  <si>
    <t>Customer 244</t>
  </si>
  <si>
    <t>Pen Model 333</t>
  </si>
  <si>
    <t>Sofa Model 565</t>
  </si>
  <si>
    <t>Storage Model 577</t>
  </si>
  <si>
    <t>Mouse Model 620</t>
  </si>
  <si>
    <t>Bookcase Model 752</t>
  </si>
  <si>
    <t>Customer 26</t>
  </si>
  <si>
    <t>Chair Model 557</t>
  </si>
  <si>
    <t>Storage Model 356</t>
  </si>
  <si>
    <t>C1172</t>
  </si>
  <si>
    <t>Storage Model 834</t>
  </si>
  <si>
    <t>Keyboard Model 150</t>
  </si>
  <si>
    <t>Customer 52</t>
  </si>
  <si>
    <t>Keyboard Model 367</t>
  </si>
  <si>
    <t>C1136</t>
  </si>
  <si>
    <t>Customer 279</t>
  </si>
  <si>
    <t>Chair Model 880</t>
  </si>
  <si>
    <t>C1298</t>
  </si>
  <si>
    <t>Mouse Model 627</t>
  </si>
  <si>
    <t>C1218</t>
  </si>
  <si>
    <t>Chair Model 126</t>
  </si>
  <si>
    <t>Customer 137</t>
  </si>
  <si>
    <t>Binder Model 361</t>
  </si>
  <si>
    <t>Table Model 414</t>
  </si>
  <si>
    <t>C1287</t>
  </si>
  <si>
    <t>Table Model 525</t>
  </si>
  <si>
    <t>Keyboard Model 687</t>
  </si>
  <si>
    <t>C1106</t>
  </si>
  <si>
    <t>Mouse Model 628</t>
  </si>
  <si>
    <t>Storage Model 287</t>
  </si>
  <si>
    <t>C1044</t>
  </si>
  <si>
    <t>Laptop Model 169</t>
  </si>
  <si>
    <t>Table Model 627</t>
  </si>
  <si>
    <t>Mouse Model 478</t>
  </si>
  <si>
    <t>C1214</t>
  </si>
  <si>
    <t>Paper Model 221</t>
  </si>
  <si>
    <t>Laptop Model 332</t>
  </si>
  <si>
    <t>Monitor Model 921</t>
  </si>
  <si>
    <t>C1025</t>
  </si>
  <si>
    <t>Laptop Model 291</t>
  </si>
  <si>
    <t>Monitor Model 721</t>
  </si>
  <si>
    <t>Pen Model 494</t>
  </si>
  <si>
    <t>C1058</t>
  </si>
  <si>
    <t>Paper Model 563</t>
  </si>
  <si>
    <t>Table Model 711</t>
  </si>
  <si>
    <t>C1278</t>
  </si>
  <si>
    <t>Monitor Model 989</t>
  </si>
  <si>
    <t>C1240</t>
  </si>
  <si>
    <t>Mouse Model 511</t>
  </si>
  <si>
    <t>Binder Model 576</t>
  </si>
  <si>
    <t>C1239</t>
  </si>
  <si>
    <t>Table Model 948</t>
  </si>
  <si>
    <t>Sofa Model 592</t>
  </si>
  <si>
    <t>Notebook Model 945</t>
  </si>
  <si>
    <t>C1108</t>
  </si>
  <si>
    <t>Table Model 252</t>
  </si>
  <si>
    <t>C1249</t>
  </si>
  <si>
    <t>Chair Model 601</t>
  </si>
  <si>
    <t>C1167</t>
  </si>
  <si>
    <t>Mouse Model 314</t>
  </si>
  <si>
    <t>Table Model 269</t>
  </si>
  <si>
    <t>Customer 147</t>
  </si>
  <si>
    <t>Binder Model 860</t>
  </si>
  <si>
    <t>Customer 135</t>
  </si>
  <si>
    <t>Pen Model 229</t>
  </si>
  <si>
    <t>C1139</t>
  </si>
  <si>
    <t>Binder Model 351</t>
  </si>
  <si>
    <t>Customer 299</t>
  </si>
  <si>
    <t>Pen Model 883</t>
  </si>
  <si>
    <t>Laptop Model 630</t>
  </si>
  <si>
    <t>Customer 25</t>
  </si>
  <si>
    <t>Table Model 835</t>
  </si>
  <si>
    <t>Customer 256</t>
  </si>
  <si>
    <t>Pen Model 690</t>
  </si>
  <si>
    <t>Customer 293</t>
  </si>
  <si>
    <t>Chair Model 622</t>
  </si>
  <si>
    <t>C1152</t>
  </si>
  <si>
    <t>Table Model 663</t>
  </si>
  <si>
    <t>Customer 234</t>
  </si>
  <si>
    <t>Sofa Model 164</t>
  </si>
  <si>
    <t>C1222</t>
  </si>
  <si>
    <t>Notebook Model 500</t>
  </si>
  <si>
    <t>Customer 69</t>
  </si>
  <si>
    <t>Chair Model 368</t>
  </si>
  <si>
    <t>C1146</t>
  </si>
  <si>
    <t>Table Model 616</t>
  </si>
  <si>
    <t>Laptop Model 700</t>
  </si>
  <si>
    <t>C1077</t>
  </si>
  <si>
    <t>Pen Model 142</t>
  </si>
  <si>
    <t>Sofa Model 521</t>
  </si>
  <si>
    <t>Bookcase Model 148</t>
  </si>
  <si>
    <t>Customer 114</t>
  </si>
  <si>
    <t>Phone Model 509</t>
  </si>
  <si>
    <t>Chair Model 525</t>
  </si>
  <si>
    <t>Table Model 386</t>
  </si>
  <si>
    <t>Chair Model 227</t>
  </si>
  <si>
    <t>Bookcase Model 309</t>
  </si>
  <si>
    <t>C1142</t>
  </si>
  <si>
    <t>Table Model 344</t>
  </si>
  <si>
    <t>Customer 139</t>
  </si>
  <si>
    <t>Notebook Model 747</t>
  </si>
  <si>
    <t>Bookcase Model 778</t>
  </si>
  <si>
    <t>Monitor Model 229</t>
  </si>
  <si>
    <t>Pen Model 162</t>
  </si>
  <si>
    <t>C1124</t>
  </si>
  <si>
    <t>Customer 77</t>
  </si>
  <si>
    <t>Storage Model 769</t>
  </si>
  <si>
    <t>Monitor Model 511</t>
  </si>
  <si>
    <t>Paper Model 139</t>
  </si>
  <si>
    <t>Pen Model 896</t>
  </si>
  <si>
    <t>C1158</t>
  </si>
  <si>
    <t>Chair Model 215</t>
  </si>
  <si>
    <t>C1283</t>
  </si>
  <si>
    <t>Paper Model 816</t>
  </si>
  <si>
    <t>Phone Model 457</t>
  </si>
  <si>
    <t>C1231</t>
  </si>
  <si>
    <t>Customer 74</t>
  </si>
  <si>
    <t>Storage Model 510</t>
  </si>
  <si>
    <t>C1014</t>
  </si>
  <si>
    <t>Monitor Model 975</t>
  </si>
  <si>
    <t>Table Model 623</t>
  </si>
  <si>
    <t>C1081</t>
  </si>
  <si>
    <t>Customer 160</t>
  </si>
  <si>
    <t>Sofa Model 225</t>
  </si>
  <si>
    <t>C1261</t>
  </si>
  <si>
    <t>Paper Model 544</t>
  </si>
  <si>
    <t>Customer 277</t>
  </si>
  <si>
    <t>Pen Model 158</t>
  </si>
  <si>
    <t>C1165</t>
  </si>
  <si>
    <t>Storage Model 630</t>
  </si>
  <si>
    <t>Sofa Model 650</t>
  </si>
  <si>
    <t>C1213</t>
  </si>
  <si>
    <t>Mouse Model 814</t>
  </si>
  <si>
    <t>Notebook Model 279</t>
  </si>
  <si>
    <t>Customer 14</t>
  </si>
  <si>
    <t>Sofa Model 276</t>
  </si>
  <si>
    <t>Customer 196</t>
  </si>
  <si>
    <t>Mouse Model 385</t>
  </si>
  <si>
    <t>C1130</t>
  </si>
  <si>
    <t>Table Model 662</t>
  </si>
  <si>
    <t>C1187</t>
  </si>
  <si>
    <t>Chair Model 572</t>
  </si>
  <si>
    <t>Paper Model 684</t>
  </si>
  <si>
    <t>Customer 30</t>
  </si>
  <si>
    <t>Sofa Model 629</t>
  </si>
  <si>
    <t>Table Model 219</t>
  </si>
  <si>
    <t>Binder Model 275</t>
  </si>
  <si>
    <t>Customer 169</t>
  </si>
  <si>
    <t>Keyboard Model 336</t>
  </si>
  <si>
    <t>C1163</t>
  </si>
  <si>
    <t>Storage Model 723</t>
  </si>
  <si>
    <t>Pen Model 851</t>
  </si>
  <si>
    <t>Mouse Model 232</t>
  </si>
  <si>
    <t>C1041</t>
  </si>
  <si>
    <t>Customer 23</t>
  </si>
  <si>
    <t>Bookcase Model 188</t>
  </si>
  <si>
    <t>Chair Model 658</t>
  </si>
  <si>
    <t>C1200</t>
  </si>
  <si>
    <t>Phone Model 704</t>
  </si>
  <si>
    <t>Customer 259</t>
  </si>
  <si>
    <t>Mouse Model 787</t>
  </si>
  <si>
    <t>Monitor Model 737</t>
  </si>
  <si>
    <t>Table Model 138</t>
  </si>
  <si>
    <t>Notebook Model 533</t>
  </si>
  <si>
    <t>Laptop Model 634</t>
  </si>
  <si>
    <t>C1288</t>
  </si>
  <si>
    <t>Storage Model 490</t>
  </si>
  <si>
    <t>Customer 110</t>
  </si>
  <si>
    <t>Notebook Model 830</t>
  </si>
  <si>
    <t>Monitor Model 375</t>
  </si>
  <si>
    <t>Storage Model 940</t>
  </si>
  <si>
    <t>Mouse Model 579</t>
  </si>
  <si>
    <t>C1118</t>
  </si>
  <si>
    <t>Customer 263</t>
  </si>
  <si>
    <t>Pen Model 315</t>
  </si>
  <si>
    <t>Mouse Model 652</t>
  </si>
  <si>
    <t>C1072</t>
  </si>
  <si>
    <t>Phone Model 467</t>
  </si>
  <si>
    <t>Binder Model 122</t>
  </si>
  <si>
    <t>C1085</t>
  </si>
  <si>
    <t>Customer 241</t>
  </si>
  <si>
    <t>Monitor Model 757</t>
  </si>
  <si>
    <t>Chair Model 546</t>
  </si>
  <si>
    <t>Chair Model 281</t>
  </si>
  <si>
    <t>Table Model 768</t>
  </si>
  <si>
    <t>Chair Model 251</t>
  </si>
  <si>
    <t>Phone Model 978</t>
  </si>
  <si>
    <t>C1216</t>
  </si>
  <si>
    <t>Customer 294</t>
  </si>
  <si>
    <t>Sofa Model 465</t>
  </si>
  <si>
    <t>Monitor Model 570</t>
  </si>
  <si>
    <t>C1007</t>
  </si>
  <si>
    <t>Mouse Model 634</t>
  </si>
  <si>
    <t>Laptop Model 898</t>
  </si>
  <si>
    <t>Sofa Model 735</t>
  </si>
  <si>
    <t>Phone Model 478</t>
  </si>
  <si>
    <t>Customer 145</t>
  </si>
  <si>
    <t>Table Model 895</t>
  </si>
  <si>
    <t>Laptop Model 407</t>
  </si>
  <si>
    <t>C1075</t>
  </si>
  <si>
    <t>C1111</t>
  </si>
  <si>
    <t>Customer 1</t>
  </si>
  <si>
    <t>Binder Model 467</t>
  </si>
  <si>
    <t>Paper Model 459</t>
  </si>
  <si>
    <t>C1117</t>
  </si>
  <si>
    <t>Paper Model 391</t>
  </si>
  <si>
    <t>C1232</t>
  </si>
  <si>
    <t>Storage Model 866</t>
  </si>
  <si>
    <t>Table Model 902</t>
  </si>
  <si>
    <t>Binder Model 214</t>
  </si>
  <si>
    <t>Paper Model 260</t>
  </si>
  <si>
    <t>Monitor Model 453</t>
  </si>
  <si>
    <t>Monitor Model 174</t>
  </si>
  <si>
    <t>Laptop Model 832</t>
  </si>
  <si>
    <t>Notebook Model 271</t>
  </si>
  <si>
    <t>Notebook Model 457</t>
  </si>
  <si>
    <t>C1157</t>
  </si>
  <si>
    <t>Customer 252</t>
  </si>
  <si>
    <t>Mouse Model 862</t>
  </si>
  <si>
    <t>Table Model 961</t>
  </si>
  <si>
    <t>Phone Model 922</t>
  </si>
  <si>
    <t>Sofa Model 365</t>
  </si>
  <si>
    <t>Phone Model 784</t>
  </si>
  <si>
    <t>Notebook Model 627</t>
  </si>
  <si>
    <t>Phone Model 589</t>
  </si>
  <si>
    <t>Keyboard Model 714</t>
  </si>
  <si>
    <t>Customer 189</t>
  </si>
  <si>
    <t>Keyboard Model 798</t>
  </si>
  <si>
    <t>Table Model 805</t>
  </si>
  <si>
    <t>C1028</t>
  </si>
  <si>
    <t>Customer 3</t>
  </si>
  <si>
    <t>Phone Model 210</t>
  </si>
  <si>
    <t>Storage Model 770</t>
  </si>
  <si>
    <t>Notebook Model 701</t>
  </si>
  <si>
    <t>Binder Model 380</t>
  </si>
  <si>
    <t>Table Model 121</t>
  </si>
  <si>
    <t>Binder Model 869</t>
  </si>
  <si>
    <t>Customer 258</t>
  </si>
  <si>
    <t>Table Model 750</t>
  </si>
  <si>
    <t>Phone Model 574</t>
  </si>
  <si>
    <t>Binder Model 997</t>
  </si>
  <si>
    <t>C1191</t>
  </si>
  <si>
    <t>Customer 138</t>
  </si>
  <si>
    <t>Bookcase Model 298</t>
  </si>
  <si>
    <t>Mouse Model 894</t>
  </si>
  <si>
    <t>Sofa Model 835</t>
  </si>
  <si>
    <t>C1059</t>
  </si>
  <si>
    <t>Monitor Model 782</t>
  </si>
  <si>
    <t>Customer 250</t>
  </si>
  <si>
    <t>Table Model 191</t>
  </si>
  <si>
    <t>Mouse Model 863</t>
  </si>
  <si>
    <t>Customer 222</t>
  </si>
  <si>
    <t>Table Model 921</t>
  </si>
  <si>
    <t>Customer 5</t>
  </si>
  <si>
    <t>Monitor Model 883</t>
  </si>
  <si>
    <t>Storage Model 792</t>
  </si>
  <si>
    <t>Customer 230</t>
  </si>
  <si>
    <t>Storage Model 415</t>
  </si>
  <si>
    <t>Laptop Model 990</t>
  </si>
  <si>
    <t>Monitor Model 387</t>
  </si>
  <si>
    <t>Customer 48</t>
  </si>
  <si>
    <t>Pen Model 203</t>
  </si>
  <si>
    <t>Sofa Model 825</t>
  </si>
  <si>
    <t>C1180</t>
  </si>
  <si>
    <t>Table Model 512</t>
  </si>
  <si>
    <t>C1266</t>
  </si>
  <si>
    <t>Mouse Model 234</t>
  </si>
  <si>
    <t>Sofa Model 830</t>
  </si>
  <si>
    <t>Laptop Model 282</t>
  </si>
  <si>
    <t>Chair Model 931</t>
  </si>
  <si>
    <t>Sofa Model 805</t>
  </si>
  <si>
    <t>Binder Model 226</t>
  </si>
  <si>
    <t>Bookcase Model 573</t>
  </si>
  <si>
    <t>Customer 164</t>
  </si>
  <si>
    <t>Sofa Model 972</t>
  </si>
  <si>
    <t>Table Model 546</t>
  </si>
  <si>
    <t>Mouse Model 458</t>
  </si>
  <si>
    <t>Keyboard Model 659</t>
  </si>
  <si>
    <t>C1049</t>
  </si>
  <si>
    <t>Keyboard Model 180</t>
  </si>
  <si>
    <t>C1171</t>
  </si>
  <si>
    <t>Phone Model 926</t>
  </si>
  <si>
    <t>Sofa Model 953</t>
  </si>
  <si>
    <t>Notebook Model 264</t>
  </si>
  <si>
    <t>Bookcase Model 672</t>
  </si>
  <si>
    <t>Chair Model 754</t>
  </si>
  <si>
    <t>C1123</t>
  </si>
  <si>
    <t>Bookcase Model 774</t>
  </si>
  <si>
    <t>Pen Model 556</t>
  </si>
  <si>
    <t>Paper Model 429</t>
  </si>
  <si>
    <t>Customer 117</t>
  </si>
  <si>
    <t>Chair Model 709</t>
  </si>
  <si>
    <t>Customer 88</t>
  </si>
  <si>
    <t>Storage Model 758</t>
  </si>
  <si>
    <t>Customer 246</t>
  </si>
  <si>
    <t>Sofa Model 699</t>
  </si>
  <si>
    <t>Keyboard Model 628</t>
  </si>
  <si>
    <t>Binder Model 623</t>
  </si>
  <si>
    <t>Mouse Model 780</t>
  </si>
  <si>
    <t>Customer 101</t>
  </si>
  <si>
    <t>Notebook Model 901</t>
  </si>
  <si>
    <t>C1205</t>
  </si>
  <si>
    <t>Storage Model 275</t>
  </si>
  <si>
    <t>Notebook Model 854</t>
  </si>
  <si>
    <t>Sofa Model 940</t>
  </si>
  <si>
    <t>Customer 172</t>
  </si>
  <si>
    <t>Binder Model 116</t>
  </si>
  <si>
    <t>C1289</t>
  </si>
  <si>
    <t>Mouse Model 466</t>
  </si>
  <si>
    <t>Chair Model 620</t>
  </si>
  <si>
    <t>Laptop Model 458</t>
  </si>
  <si>
    <t>Customer 161</t>
  </si>
  <si>
    <t>Monitor Model 603</t>
  </si>
  <si>
    <t>Customer 237</t>
  </si>
  <si>
    <t>Chair Model 910</t>
  </si>
  <si>
    <t>C1299</t>
  </si>
  <si>
    <t>Chair Model 875</t>
  </si>
  <si>
    <t>C1252</t>
  </si>
  <si>
    <t>Storage Model 737</t>
  </si>
  <si>
    <t>C1153</t>
  </si>
  <si>
    <t>Storage Model 266</t>
  </si>
  <si>
    <t>Storage Model 856</t>
  </si>
  <si>
    <t>Monitor Model 475</t>
  </si>
  <si>
    <t>C1029</t>
  </si>
  <si>
    <t>Mouse Model 674</t>
  </si>
  <si>
    <t>Storage Model 694</t>
  </si>
  <si>
    <t>Pen Model 324</t>
  </si>
  <si>
    <t>C1150</t>
  </si>
  <si>
    <t>Paper Model 784</t>
  </si>
  <si>
    <t>Monitor Model 944</t>
  </si>
  <si>
    <t>Customer 45</t>
  </si>
  <si>
    <t>Mouse Model 245</t>
  </si>
  <si>
    <t>Customer 10</t>
  </si>
  <si>
    <t>Keyboard Model 920</t>
  </si>
  <si>
    <t>Chair Model 805</t>
  </si>
  <si>
    <t>Sofa Model 331</t>
  </si>
  <si>
    <t>C1190</t>
  </si>
  <si>
    <t>Chair Model 800</t>
  </si>
  <si>
    <t>Sofa Model 484</t>
  </si>
  <si>
    <t>Phone Model 444</t>
  </si>
  <si>
    <t>Phone Model 477</t>
  </si>
  <si>
    <t>C1245</t>
  </si>
  <si>
    <t>Keyboard Model 377</t>
  </si>
  <si>
    <t>Paper Model 739</t>
  </si>
  <si>
    <t>Bookcase Model 801</t>
  </si>
  <si>
    <t>Binder Model 643</t>
  </si>
  <si>
    <t>Sofa Model 842</t>
  </si>
  <si>
    <t>Bookcase Model 604</t>
  </si>
  <si>
    <t>Keyboard Model 783</t>
  </si>
  <si>
    <t>C1194</t>
  </si>
  <si>
    <t>Customer 290</t>
  </si>
  <si>
    <t>Laptop Model 328</t>
  </si>
  <si>
    <t>Sofa Model 513</t>
  </si>
  <si>
    <t>C1268</t>
  </si>
  <si>
    <t>Customer 231</t>
  </si>
  <si>
    <t>Binder Model 929</t>
  </si>
  <si>
    <t>Monitor Model 181</t>
  </si>
  <si>
    <t>Chair Model 304</t>
  </si>
  <si>
    <t>Phone Model 822</t>
  </si>
  <si>
    <t>Customer 201</t>
  </si>
  <si>
    <t>Binder Model 249</t>
  </si>
  <si>
    <t>Pen Model 146</t>
  </si>
  <si>
    <t>Chair Model 153</t>
  </si>
  <si>
    <t>Table Model 992</t>
  </si>
  <si>
    <t>Customer 254</t>
  </si>
  <si>
    <t>Sofa Model 667</t>
  </si>
  <si>
    <t>Sofa Model 654</t>
  </si>
  <si>
    <t>Laptop Model 539</t>
  </si>
  <si>
    <t>C1074</t>
  </si>
  <si>
    <t>Sofa Model 556</t>
  </si>
  <si>
    <t>Paper Model 897</t>
  </si>
  <si>
    <t>Laptop Model 823</t>
  </si>
  <si>
    <t>Mouse Model 545</t>
  </si>
  <si>
    <t>Binder Model 480</t>
  </si>
  <si>
    <t>C1259</t>
  </si>
  <si>
    <t>Binder Model 590</t>
  </si>
  <si>
    <t>Bookcase Model 932</t>
  </si>
  <si>
    <t>Customer 156</t>
  </si>
  <si>
    <t>Binder Model 510</t>
  </si>
  <si>
    <t>Phone Model 225</t>
  </si>
  <si>
    <t>Table Model 431</t>
  </si>
  <si>
    <t>C1267</t>
  </si>
  <si>
    <t>Laptop Model 548</t>
  </si>
  <si>
    <t>Customer 276</t>
  </si>
  <si>
    <t>Chair Model 194</t>
  </si>
  <si>
    <t>Notebook Model 715</t>
  </si>
  <si>
    <t>C1018</t>
  </si>
  <si>
    <t>Storage Model 730</t>
  </si>
  <si>
    <t>Notebook Model 917</t>
  </si>
  <si>
    <t>Mouse Model 678</t>
  </si>
  <si>
    <t>Customer 95</t>
  </si>
  <si>
    <t>Laptop Model 962</t>
  </si>
  <si>
    <t>Storage Model 311</t>
  </si>
  <si>
    <t>Storage Model 233</t>
  </si>
  <si>
    <t>C1089</t>
  </si>
  <si>
    <t>Sofa Model 586</t>
  </si>
  <si>
    <t>Monitor Model 961</t>
  </si>
  <si>
    <t>Customer 214</t>
  </si>
  <si>
    <t>Table Model 508</t>
  </si>
  <si>
    <t>Customer 42</t>
  </si>
  <si>
    <t>Notebook Model 716</t>
  </si>
  <si>
    <t>Notebook Model 827</t>
  </si>
  <si>
    <t>Table Model 366</t>
  </si>
  <si>
    <t>Paper Model 325</t>
  </si>
  <si>
    <t>Phone Model 510</t>
  </si>
  <si>
    <t>Paper Model 836</t>
  </si>
  <si>
    <t>Monitor Model 271</t>
  </si>
  <si>
    <t>Mouse Model 878</t>
  </si>
  <si>
    <t>C1042</t>
  </si>
  <si>
    <t>Notebook Model 998</t>
  </si>
  <si>
    <t>Notebook Model 127</t>
  </si>
  <si>
    <t>C1161</t>
  </si>
  <si>
    <t>Phone Model 866</t>
  </si>
  <si>
    <t>Keyboard Model 842</t>
  </si>
  <si>
    <t>Notebook Model 760</t>
  </si>
  <si>
    <t>C1138</t>
  </si>
  <si>
    <t>Monitor Model 869</t>
  </si>
  <si>
    <t>Laptop Model 140</t>
  </si>
  <si>
    <t>Laptop Model 721</t>
  </si>
  <si>
    <t>Bookcase Model 927</t>
  </si>
  <si>
    <t>Customer 35</t>
  </si>
  <si>
    <t>Monitor Model 680</t>
  </si>
  <si>
    <t>Notebook Model 194</t>
  </si>
  <si>
    <t>C1229</t>
  </si>
  <si>
    <t>Pen Model 959</t>
  </si>
  <si>
    <t>Customer 16</t>
  </si>
  <si>
    <t>Phone Model 106</t>
  </si>
  <si>
    <t>Paper Model 611</t>
  </si>
  <si>
    <t>Customer 207</t>
  </si>
  <si>
    <t>Storage Model 555</t>
  </si>
  <si>
    <t>Pen Model 224</t>
  </si>
  <si>
    <t>Notebook Model 185</t>
  </si>
  <si>
    <t>Table Model 312</t>
  </si>
  <si>
    <t>Customer 82</t>
  </si>
  <si>
    <t>Paper Model 434</t>
  </si>
  <si>
    <t>Paper Model 915</t>
  </si>
  <si>
    <t>Customer 218</t>
  </si>
  <si>
    <t>Mouse Model 116</t>
  </si>
  <si>
    <t>Customer 33</t>
  </si>
  <si>
    <t>Phone Model 730</t>
  </si>
  <si>
    <t>C1296</t>
  </si>
  <si>
    <t>Monitor Model 950</t>
  </si>
  <si>
    <t>Laptop Model 164</t>
  </si>
  <si>
    <t>Bookcase Model 189</t>
  </si>
  <si>
    <t>Table Model 268</t>
  </si>
  <si>
    <t>Customer 24</t>
  </si>
  <si>
    <t>Notebook Model 989</t>
  </si>
  <si>
    <t>Customer 146</t>
  </si>
  <si>
    <t>Pen Model 250</t>
  </si>
  <si>
    <t>Laptop Model 274</t>
  </si>
  <si>
    <t>Bookcase Model 880</t>
  </si>
  <si>
    <t>Mouse Model 946</t>
  </si>
  <si>
    <t>Table Model 987</t>
  </si>
  <si>
    <t>Laptop Model 603</t>
  </si>
  <si>
    <t>Chair Model 524</t>
  </si>
  <si>
    <t>Chair Model 361</t>
  </si>
  <si>
    <t>Storage Model 850</t>
  </si>
  <si>
    <t>C1185</t>
  </si>
  <si>
    <t>Keyboard Model 143</t>
  </si>
  <si>
    <t>Customer 59</t>
  </si>
  <si>
    <t>Table Model 985</t>
  </si>
  <si>
    <t>Mouse Model 578</t>
  </si>
  <si>
    <t>Pen Model 950</t>
  </si>
  <si>
    <t>Table Model 852</t>
  </si>
  <si>
    <t>Chair Model 723</t>
  </si>
  <si>
    <t>Customer 78</t>
  </si>
  <si>
    <t>Mouse Model 325</t>
  </si>
  <si>
    <t>Binder Model 974</t>
  </si>
  <si>
    <t>Customer 7</t>
  </si>
  <si>
    <t>Chair Model 581</t>
  </si>
  <si>
    <t>Pen Model 208</t>
  </si>
  <si>
    <t>Chair Model 872</t>
  </si>
  <si>
    <t>Binder Model 639</t>
  </si>
  <si>
    <t>Table Model 941</t>
  </si>
  <si>
    <t>C1237</t>
  </si>
  <si>
    <t>Phone Model 371</t>
  </si>
  <si>
    <t>Table Model 420</t>
  </si>
  <si>
    <t>Laptop Model 868</t>
  </si>
  <si>
    <t>Chair Model 507</t>
  </si>
  <si>
    <t>C1015</t>
  </si>
  <si>
    <t>Customer 136</t>
  </si>
  <si>
    <t>Phone Model 116</t>
  </si>
  <si>
    <t>Monitor Model 292</t>
  </si>
  <si>
    <t>Binder Model 545</t>
  </si>
  <si>
    <t>Monitor Model 106</t>
  </si>
  <si>
    <t>Customer 97</t>
  </si>
  <si>
    <t>Mouse Model 402</t>
  </si>
  <si>
    <t>Laptop Model 127</t>
  </si>
  <si>
    <t>Keyboard Model 115</t>
  </si>
  <si>
    <t>Keyboard Model 160</t>
  </si>
  <si>
    <t>Phone Model 839</t>
  </si>
  <si>
    <t>Storage Model 166</t>
  </si>
  <si>
    <t>Storage Model 223</t>
  </si>
  <si>
    <t>Customer 163</t>
  </si>
  <si>
    <t>C1076</t>
  </si>
  <si>
    <t>Table Model 884</t>
  </si>
  <si>
    <t>Sofa Model 479</t>
  </si>
  <si>
    <t>Chair Model 967</t>
  </si>
  <si>
    <t>Keyboard Model 576</t>
  </si>
  <si>
    <t>Bookcase Model 658</t>
  </si>
  <si>
    <t>Customer 131</t>
  </si>
  <si>
    <t>Mouse Model 718</t>
  </si>
  <si>
    <t>Mouse Model 558</t>
  </si>
  <si>
    <t>Customer 81</t>
  </si>
  <si>
    <t>Chair Model 497</t>
  </si>
  <si>
    <t>Chair Model 195</t>
  </si>
  <si>
    <t>Table Model 969</t>
  </si>
  <si>
    <t>Customer 177</t>
  </si>
  <si>
    <t>Chair Model 434</t>
  </si>
  <si>
    <t>Customer 19</t>
  </si>
  <si>
    <t>Notebook Model 377</t>
  </si>
  <si>
    <t>Customer 149</t>
  </si>
  <si>
    <t>Monitor Model 348</t>
  </si>
  <si>
    <t>Laptop Model 758</t>
  </si>
  <si>
    <t>Keyboard Model 136</t>
  </si>
  <si>
    <t>Paper Model 696</t>
  </si>
  <si>
    <t>Customer 89</t>
  </si>
  <si>
    <t>Laptop Model 908</t>
  </si>
  <si>
    <t>C1147</t>
  </si>
  <si>
    <t>Bookcase Model 302</t>
  </si>
  <si>
    <t>Keyboard Model 369</t>
  </si>
  <si>
    <t>Monitor Model 191</t>
  </si>
  <si>
    <t>Pen Model 805</t>
  </si>
  <si>
    <t>Notebook Model 804</t>
  </si>
  <si>
    <t>C1005</t>
  </si>
  <si>
    <t>Paper Model 812</t>
  </si>
  <si>
    <t>Binder Model 223</t>
  </si>
  <si>
    <t>Paper Model 549</t>
  </si>
  <si>
    <t>Paper Model 554</t>
  </si>
  <si>
    <t>Sofa Model 677</t>
  </si>
  <si>
    <t>Monitor Model 418</t>
  </si>
  <si>
    <t>Table Model 397</t>
  </si>
  <si>
    <t>Paper Model 612</t>
  </si>
  <si>
    <t>C1046</t>
  </si>
  <si>
    <t>Sofa Model 548</t>
  </si>
  <si>
    <t>Notebook Model 960</t>
  </si>
  <si>
    <t>Mouse Model 952</t>
  </si>
  <si>
    <t>Binder Model 953</t>
  </si>
  <si>
    <t>Bookcase Model 968</t>
  </si>
  <si>
    <t>Monitor Model 758</t>
  </si>
  <si>
    <t>Paper Model 202</t>
  </si>
  <si>
    <t>Binder Model 262</t>
  </si>
  <si>
    <t>Paper Model 546</t>
  </si>
  <si>
    <t>Chair Model 993</t>
  </si>
  <si>
    <t>C1062</t>
  </si>
  <si>
    <t>Keyboard Model 892</t>
  </si>
  <si>
    <t>Mouse Model 792</t>
  </si>
  <si>
    <t>C1066</t>
  </si>
  <si>
    <t>Phone Model 350</t>
  </si>
  <si>
    <t>Chair Model 149</t>
  </si>
  <si>
    <t>Phone Model 282</t>
  </si>
  <si>
    <t>Bookcase Model 753</t>
  </si>
  <si>
    <t>Phone Model 949</t>
  </si>
  <si>
    <t>Laptop Model 451</t>
  </si>
  <si>
    <t>Notebook Model 825</t>
  </si>
  <si>
    <t>Chair Model 864</t>
  </si>
  <si>
    <t>Table Model 821</t>
  </si>
  <si>
    <t>Customer 96</t>
  </si>
  <si>
    <t>Binder Model 802</t>
  </si>
  <si>
    <t>Table Model 991</t>
  </si>
  <si>
    <t>Customer 76</t>
  </si>
  <si>
    <t>Table Model 934</t>
  </si>
  <si>
    <t>Bookcase Model 776</t>
  </si>
  <si>
    <t>Binder Model 714</t>
  </si>
  <si>
    <t>Chair Model 678</t>
  </si>
  <si>
    <t>Keyboard Model 416</t>
  </si>
  <si>
    <t>Phone Model 127</t>
  </si>
  <si>
    <t>Phone Model 442</t>
  </si>
  <si>
    <t>Sofa Model 524</t>
  </si>
  <si>
    <t>Storage Model 832</t>
  </si>
  <si>
    <t>Laptop Model 590</t>
  </si>
  <si>
    <t>Table Model 848</t>
  </si>
  <si>
    <t>Monitor Model 994</t>
  </si>
  <si>
    <t>Customer 120</t>
  </si>
  <si>
    <t>Monitor Model 614</t>
  </si>
  <si>
    <t>Bookcase Model 684</t>
  </si>
  <si>
    <t>Monitor Model 699</t>
  </si>
  <si>
    <t>Storage Model 156</t>
  </si>
  <si>
    <t>Bookcase Model 133</t>
  </si>
  <si>
    <t>Table Model 631</t>
  </si>
  <si>
    <t>Mouse Model 112</t>
  </si>
  <si>
    <t>Laptop Model 985</t>
  </si>
  <si>
    <t>Bookcase Model 829</t>
  </si>
  <si>
    <t>Table Model 229</t>
  </si>
  <si>
    <t>Pen Model 453</t>
  </si>
  <si>
    <t>Keyboard Model 460</t>
  </si>
  <si>
    <t>Phone Model 778</t>
  </si>
  <si>
    <t>Chair Model 728</t>
  </si>
  <si>
    <t>Laptop Model 480</t>
  </si>
  <si>
    <t>Bookcase Model 978</t>
  </si>
  <si>
    <t>Notebook Model 636</t>
  </si>
  <si>
    <t>C1013</t>
  </si>
  <si>
    <t>Sofa Model 579</t>
  </si>
  <si>
    <t>Pen Model 594</t>
  </si>
  <si>
    <t>Bookcase Model 756</t>
  </si>
  <si>
    <t>Customer 248</t>
  </si>
  <si>
    <t>Table Model 237</t>
  </si>
  <si>
    <t>Monitor Model 313</t>
  </si>
  <si>
    <t>Bookcase Model 395</t>
  </si>
  <si>
    <t>Pen Model 126</t>
  </si>
  <si>
    <t>Phone Model 120</t>
  </si>
  <si>
    <t>Laptop Model 953</t>
  </si>
  <si>
    <t>Notebook Model 250</t>
  </si>
  <si>
    <t>C1295</t>
  </si>
  <si>
    <t>Bookcase Model 373</t>
  </si>
  <si>
    <t>Bookcase Model 541</t>
  </si>
  <si>
    <t>Laptop Model 297</t>
  </si>
  <si>
    <t>Paper Model 954</t>
  </si>
  <si>
    <t>Mouse Model 136</t>
  </si>
  <si>
    <t>Laptop Model 719</t>
  </si>
  <si>
    <t>Laptop Model 456</t>
  </si>
  <si>
    <t>Table Model 207</t>
  </si>
  <si>
    <t>Notebook Model 388</t>
  </si>
  <si>
    <t>Phone Model 313</t>
  </si>
  <si>
    <t>Paper Model 744</t>
  </si>
  <si>
    <t>Customer 122</t>
  </si>
  <si>
    <t>Table Model 841</t>
  </si>
  <si>
    <t>Customer 223</t>
  </si>
  <si>
    <t>Storage Model 113</t>
  </si>
  <si>
    <t>Notebook Model 142</t>
  </si>
  <si>
    <t>Paper Model 787</t>
  </si>
  <si>
    <t>Pen Model 209</t>
  </si>
  <si>
    <t>Sofa Model 663</t>
  </si>
  <si>
    <t>Pen Model 769</t>
  </si>
  <si>
    <t>Pen Model 356</t>
  </si>
  <si>
    <t>Pen Model 436</t>
  </si>
  <si>
    <t>Monitor Model 766</t>
  </si>
  <si>
    <t>Binder Model 353</t>
  </si>
  <si>
    <t>Phone Model 748</t>
  </si>
  <si>
    <t>Paper Model 522</t>
  </si>
  <si>
    <t>C1279</t>
  </si>
  <si>
    <t>Sofa Model 915</t>
  </si>
  <si>
    <t>Table Model 490</t>
  </si>
  <si>
    <t>Binder Model 617</t>
  </si>
  <si>
    <t>Pen Model 551</t>
  </si>
  <si>
    <t>Monitor Model 805</t>
  </si>
  <si>
    <t>Table Model 359</t>
  </si>
  <si>
    <t>Table Model 384</t>
  </si>
  <si>
    <t>Phone Model 681</t>
  </si>
  <si>
    <t>Binder Model 448</t>
  </si>
  <si>
    <t>Paper Model 927</t>
  </si>
  <si>
    <t>Bookcase Model 281</t>
  </si>
  <si>
    <t>Keyboard Model 308</t>
  </si>
  <si>
    <t>Table Model 494</t>
  </si>
  <si>
    <t>Monitor Model 560</t>
  </si>
  <si>
    <t>C1221</t>
  </si>
  <si>
    <t>Customer 112</t>
  </si>
  <si>
    <t>Chair Model 359</t>
  </si>
  <si>
    <t>C1095</t>
  </si>
  <si>
    <t>Chair Model 909</t>
  </si>
  <si>
    <t>C1251</t>
  </si>
  <si>
    <t>Bookcase Model 846</t>
  </si>
  <si>
    <t>C1159</t>
  </si>
  <si>
    <t>Keyboard Model 880</t>
  </si>
  <si>
    <t>Table Model 345</t>
  </si>
  <si>
    <t>Binder Model 905</t>
  </si>
  <si>
    <t>Binder Model 599</t>
  </si>
  <si>
    <t>Table Model 940</t>
  </si>
  <si>
    <t>Table Model 463</t>
  </si>
  <si>
    <t>Customer 243</t>
  </si>
  <si>
    <t>Bookcase Model 376</t>
  </si>
  <si>
    <t>Sofa Model 190</t>
  </si>
  <si>
    <t>Sofa Model 340</t>
  </si>
  <si>
    <t>Chair Model 420</t>
  </si>
  <si>
    <t>Sofa Model 967</t>
  </si>
  <si>
    <t>Binder Model 269</t>
  </si>
  <si>
    <t>C1291</t>
  </si>
  <si>
    <t>Table Model 260</t>
  </si>
  <si>
    <t>Storage Model 597</t>
  </si>
  <si>
    <t>Laptop Model 679</t>
  </si>
  <si>
    <t>Sofa Model 743</t>
  </si>
  <si>
    <t>Phone Model 212</t>
  </si>
  <si>
    <t>Storage Model 450</t>
  </si>
  <si>
    <t>Notebook Model 123</t>
  </si>
  <si>
    <t>Mouse Model 839</t>
  </si>
  <si>
    <t>Laptop Model 775</t>
  </si>
  <si>
    <t>Keyboard Model 743</t>
  </si>
  <si>
    <t>Sofa Model 713</t>
  </si>
  <si>
    <t>Bookcase Model 372</t>
  </si>
  <si>
    <t>Keyboard Model 674</t>
  </si>
  <si>
    <t>Notebook Model 553</t>
  </si>
  <si>
    <t>Table Model 849</t>
  </si>
  <si>
    <t>Keyboard Model 463</t>
  </si>
  <si>
    <t>Monitor Model 441</t>
  </si>
  <si>
    <t>C1243</t>
  </si>
  <si>
    <t>Binder Model 808</t>
  </si>
  <si>
    <t>Monitor Model 311</t>
  </si>
  <si>
    <t>C1177</t>
  </si>
  <si>
    <t>Binder Model 230</t>
  </si>
  <si>
    <t>Chair Model 240</t>
  </si>
  <si>
    <t>Monitor Model 531</t>
  </si>
  <si>
    <t>Phone Model 496</t>
  </si>
  <si>
    <t>Storage Model 243</t>
  </si>
  <si>
    <t>Monitor Model 287</t>
  </si>
  <si>
    <t>C1254</t>
  </si>
  <si>
    <t>Sofa Model 341</t>
  </si>
  <si>
    <t>Mouse Model 552</t>
  </si>
  <si>
    <t>Keyboard Model 592</t>
  </si>
  <si>
    <t>Customer 220</t>
  </si>
  <si>
    <t>Sofa Model 698</t>
  </si>
  <si>
    <t>Paper Model 475</t>
  </si>
  <si>
    <t>Notebook Model 722</t>
  </si>
  <si>
    <t>Customer 34</t>
  </si>
  <si>
    <t>Paper Model 771</t>
  </si>
  <si>
    <t>Laptop Model 712</t>
  </si>
  <si>
    <t>Table Model 194</t>
  </si>
  <si>
    <t>Phone Model 810</t>
  </si>
  <si>
    <t>Customer 282</t>
  </si>
  <si>
    <t>Storage Model 518</t>
  </si>
  <si>
    <t>Table Model 407</t>
  </si>
  <si>
    <t>Pen Model 658</t>
  </si>
  <si>
    <t>Customer 266</t>
  </si>
  <si>
    <t>Bookcase Model 124</t>
  </si>
  <si>
    <t>Table Model 529</t>
  </si>
  <si>
    <t>Monitor Model 514</t>
  </si>
  <si>
    <t>Bookcase Model 897</t>
  </si>
  <si>
    <t>Notebook Model 115</t>
  </si>
  <si>
    <t>Mouse Model 428</t>
  </si>
  <si>
    <t>Paper Model 263</t>
  </si>
  <si>
    <t>Pen Model 159</t>
  </si>
  <si>
    <t>Customer 126</t>
  </si>
  <si>
    <t>Phone Model 780</t>
  </si>
  <si>
    <t>Table Model 717</t>
  </si>
  <si>
    <t>Storage Model 554</t>
  </si>
  <si>
    <t>Paper Model 452</t>
  </si>
  <si>
    <t>Monitor Model 854</t>
  </si>
  <si>
    <t>Monitor Model 320</t>
  </si>
  <si>
    <t>Binder Model 422</t>
  </si>
  <si>
    <t>Mouse Model 247</t>
  </si>
  <si>
    <t>Sofa Model 689</t>
  </si>
  <si>
    <t>Phone Model 205</t>
  </si>
  <si>
    <t>Storage Model 810</t>
  </si>
  <si>
    <t>Notebook Model 260</t>
  </si>
  <si>
    <t>Laptop Model 354</t>
  </si>
  <si>
    <t>C1168</t>
  </si>
  <si>
    <t>Keyboard Model 553</t>
  </si>
  <si>
    <t>Monitor Model 150</t>
  </si>
  <si>
    <t>Binder Model 671</t>
  </si>
  <si>
    <t>Storage Model 292</t>
  </si>
  <si>
    <t>Sofa Model 306</t>
  </si>
  <si>
    <t>Notebook Model 355</t>
  </si>
  <si>
    <t>Chair Model 425</t>
  </si>
  <si>
    <t>Mouse Model 685</t>
  </si>
  <si>
    <t>Chair Model 623</t>
  </si>
  <si>
    <t>Storage Model 298</t>
  </si>
  <si>
    <t>Keyboard Model 668</t>
  </si>
  <si>
    <t>C1122</t>
  </si>
  <si>
    <t>Phone Model 160</t>
  </si>
  <si>
    <t>Mouse Model 980</t>
  </si>
  <si>
    <t>Table Model 416</t>
  </si>
  <si>
    <t>C1043</t>
  </si>
  <si>
    <t>Paper Model 981</t>
  </si>
  <si>
    <t>Sofa Model 999</t>
  </si>
  <si>
    <t>Binder Model 867</t>
  </si>
  <si>
    <t>Paper Model 718</t>
  </si>
  <si>
    <t>Pen Model 786</t>
  </si>
  <si>
    <t>Paper Model 310</t>
  </si>
  <si>
    <t>Chair Model 307</t>
  </si>
  <si>
    <t>Keyboard Model 446</t>
  </si>
  <si>
    <t>Binder Model 676</t>
  </si>
  <si>
    <t>Storage Model 259</t>
  </si>
  <si>
    <t>Paper Model 940</t>
  </si>
  <si>
    <t>Sofa Model 610</t>
  </si>
  <si>
    <t>Mouse Model 253</t>
  </si>
  <si>
    <t>Chair Model 133</t>
  </si>
  <si>
    <t>Laptop Model 519</t>
  </si>
  <si>
    <t>Table Model 524</t>
  </si>
  <si>
    <t>Table Model 370</t>
  </si>
  <si>
    <t>Laptop Model 423</t>
  </si>
  <si>
    <t>Paper Model 743</t>
  </si>
  <si>
    <t>Keyboard Model 902</t>
  </si>
  <si>
    <t>Storage Model 124</t>
  </si>
  <si>
    <t>Keyboard Model 824</t>
  </si>
  <si>
    <t>Customer 225</t>
  </si>
  <si>
    <t>Bookcase Model 233</t>
  </si>
  <si>
    <t>Pen Model 603</t>
  </si>
  <si>
    <t>Customer 70</t>
  </si>
  <si>
    <t>Laptop Model 892</t>
  </si>
  <si>
    <t>Laptop Model 612</t>
  </si>
  <si>
    <t>Sofa Model 369</t>
  </si>
  <si>
    <t>Notebook Model 446</t>
  </si>
  <si>
    <t>Pen Model 226</t>
  </si>
  <si>
    <t>Notebook Model 113</t>
  </si>
  <si>
    <t>Customer 141</t>
  </si>
  <si>
    <t>Storage Model 435</t>
  </si>
  <si>
    <t>Bookcase Model 439</t>
  </si>
  <si>
    <t>Table Model 796</t>
  </si>
  <si>
    <t>Sofa Model 437</t>
  </si>
  <si>
    <t>Notebook Model 100</t>
  </si>
  <si>
    <t>Storage Model 894</t>
  </si>
  <si>
    <t>Notebook Model 387</t>
  </si>
  <si>
    <t>Sofa Model 971</t>
  </si>
  <si>
    <t>Notebook Model 836</t>
  </si>
  <si>
    <t>Keyboard Model 921</t>
  </si>
  <si>
    <t>Mouse Model 885</t>
  </si>
  <si>
    <t>Binder Model 850</t>
  </si>
  <si>
    <t>Mouse Model 215</t>
  </si>
  <si>
    <t>Notebook Model 713</t>
  </si>
  <si>
    <t>Keyboard Model 938</t>
  </si>
  <si>
    <t>Table Model 635</t>
  </si>
  <si>
    <t>Notebook Model 354</t>
  </si>
  <si>
    <t>Laptop Model 482</t>
  </si>
  <si>
    <t>Paper Model 387</t>
  </si>
  <si>
    <t>Keyboard Model 498</t>
  </si>
  <si>
    <t>Keyboard Model 486</t>
  </si>
  <si>
    <t>Sofa Model 986</t>
  </si>
  <si>
    <t>Paper Model 895</t>
  </si>
  <si>
    <t>Monitor Model 582</t>
  </si>
  <si>
    <t>Paper Model 933</t>
  </si>
  <si>
    <t>Sofa Model 269</t>
  </si>
  <si>
    <t>Table Model 712</t>
  </si>
  <si>
    <t>Storage Model 612</t>
  </si>
  <si>
    <t>Notebook Model 258</t>
  </si>
  <si>
    <t>Sofa Model 873</t>
  </si>
  <si>
    <t>Storage Model 291</t>
  </si>
  <si>
    <t>Binder Model 837</t>
  </si>
  <si>
    <t>Table Model 205</t>
  </si>
  <si>
    <t>Chair Model 337</t>
  </si>
  <si>
    <t>Customer 9</t>
  </si>
  <si>
    <t>Binder Model 706</t>
  </si>
  <si>
    <t>Customer 229</t>
  </si>
  <si>
    <t>Chair Model 428</t>
  </si>
  <si>
    <t>Chair Model 871</t>
  </si>
  <si>
    <t>Chair Model 482</t>
  </si>
  <si>
    <t>Monitor Model 347</t>
  </si>
  <si>
    <t>Mouse Model 743</t>
  </si>
  <si>
    <t>Binder Model 343</t>
  </si>
  <si>
    <t>Monitor Model 515</t>
  </si>
  <si>
    <t>Notebook Model 305</t>
  </si>
  <si>
    <t>Mouse Model 830</t>
  </si>
  <si>
    <t>Paper Model 552</t>
  </si>
  <si>
    <t>Storage Model 992</t>
  </si>
  <si>
    <t>Laptop Model 443</t>
  </si>
  <si>
    <t>Sofa Model 278</t>
  </si>
  <si>
    <t>Table Model 822</t>
  </si>
  <si>
    <t>Pen Model 408</t>
  </si>
  <si>
    <t>Customer 37</t>
  </si>
  <si>
    <t>Chair Model 745</t>
  </si>
  <si>
    <t>Keyboard Model 190</t>
  </si>
  <si>
    <t>Keyboard Model 618</t>
  </si>
  <si>
    <t>Binder Model 263</t>
  </si>
  <si>
    <t>Paper Model 149</t>
  </si>
  <si>
    <t>Keyboard Model 873</t>
  </si>
  <si>
    <t>Paper Model 304</t>
  </si>
  <si>
    <t>Table Model 749</t>
  </si>
  <si>
    <t>Notebook Model 139</t>
  </si>
  <si>
    <t>Paper Model 856</t>
  </si>
  <si>
    <t>Phone Model 867</t>
  </si>
  <si>
    <t>Pen Model 996</t>
  </si>
  <si>
    <t>Table Model 119</t>
  </si>
  <si>
    <t>Sofa Model 266</t>
  </si>
  <si>
    <t>Sofa Model 757</t>
  </si>
  <si>
    <t>Storage Model 816</t>
  </si>
  <si>
    <t>Laptop Model 294</t>
  </si>
  <si>
    <t>Phone Model 265</t>
  </si>
  <si>
    <t>Pen Model 446</t>
  </si>
  <si>
    <t>Mouse Model 811</t>
  </si>
  <si>
    <t>Bookcase Model 121</t>
  </si>
  <si>
    <t>Bookcase Model 784</t>
  </si>
  <si>
    <t>Phone Model 401</t>
  </si>
  <si>
    <t>Table Model 136</t>
  </si>
  <si>
    <t>Notebook Model 795</t>
  </si>
  <si>
    <t>Chair Model 418</t>
  </si>
  <si>
    <t>Binder Model 300</t>
  </si>
  <si>
    <t>Customer 125</t>
  </si>
  <si>
    <t>Mouse Model 487</t>
  </si>
  <si>
    <t>Sum of Sales</t>
  </si>
  <si>
    <t>Sum of Profit</t>
  </si>
  <si>
    <t>Total Quantity</t>
  </si>
  <si>
    <t>Total Order ID</t>
  </si>
  <si>
    <t>Total profit</t>
  </si>
  <si>
    <t>Total Sales</t>
  </si>
  <si>
    <t>Row Labels</t>
  </si>
  <si>
    <t>Grand Total</t>
  </si>
  <si>
    <t>Jan</t>
  </si>
  <si>
    <t>Feb</t>
  </si>
  <si>
    <t>Mar</t>
  </si>
  <si>
    <t>Apr</t>
  </si>
  <si>
    <t>May</t>
  </si>
  <si>
    <t>Jun</t>
  </si>
  <si>
    <t>Jul</t>
  </si>
  <si>
    <t>Aug</t>
  </si>
  <si>
    <t>Sep</t>
  </si>
  <si>
    <t>Oct</t>
  </si>
  <si>
    <t>Nov</t>
  </si>
  <si>
    <t>Dec</t>
  </si>
  <si>
    <t>SUPERSTORE SALES DASHBOARD</t>
  </si>
  <si>
    <t>Track - Analyze - Improve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</si>
</sst>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3" x14ac:knownFonts="1">
    <font>
      <sz val="11"/>
      <color theme="1"/>
      <name val="Calibri"/>
      <family val="2"/>
      <scheme val="minor"/>
    </font>
    <font>
      <b/>
      <sz val="28"/>
      <color theme="0"/>
      <name val="Aptos"/>
      <family val="2"/>
    </font>
    <font>
      <b/>
      <sz val="24"/>
      <color theme="0"/>
      <name val="Aptos"/>
      <family val="2"/>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9" fontId="0" fillId="0" borderId="0" xfId="0" applyNumberFormat="1"/>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1" fillId="2" borderId="0" xfId="0" applyFont="1" applyFill="1" applyAlignment="1">
      <alignment horizontal="center"/>
    </xf>
    <xf numFmtId="0" fontId="2" fillId="2" borderId="0" xfId="0" applyFont="1" applyFill="1" applyAlignment="1">
      <alignment horizontal="center"/>
    </xf>
  </cellXfs>
  <cellStyles count="1">
    <cellStyle name="Normal" xfId="0" builtinId="0"/>
  </cellStyles>
  <dxfs count="7">
    <dxf>
      <numFmt numFmtId="3" formatCode="#,##0"/>
    </dxf>
    <dxf>
      <numFmt numFmtId="3" formatCode="#,##0"/>
    </dxf>
    <dxf>
      <numFmt numFmtId="164" formatCode="&quot;₹&quot;\ #,##0"/>
    </dxf>
    <dxf>
      <numFmt numFmtId="13" formatCode="0%"/>
    </dxf>
    <dxf>
      <numFmt numFmtId="164" formatCode="&quot;₹&quot;\ #,##0"/>
    </dxf>
    <dxf>
      <numFmt numFmtId="19" formatCode="dd/mm/yyyy"/>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 final.xlsx]Pivot!PivotTable6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Sales by Region </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Pivot!$A$31:$A$35</c:f>
              <c:strCache>
                <c:ptCount val="4"/>
                <c:pt idx="0">
                  <c:v>East</c:v>
                </c:pt>
                <c:pt idx="1">
                  <c:v>North</c:v>
                </c:pt>
                <c:pt idx="2">
                  <c:v>South</c:v>
                </c:pt>
                <c:pt idx="3">
                  <c:v>West</c:v>
                </c:pt>
              </c:strCache>
            </c:strRef>
          </c:cat>
          <c:val>
            <c:numRef>
              <c:f>Pivot!$B$31:$B$35</c:f>
              <c:numCache>
                <c:formatCode>"₹"\ #,##0</c:formatCode>
                <c:ptCount val="4"/>
                <c:pt idx="0">
                  <c:v>11820787.699999996</c:v>
                </c:pt>
                <c:pt idx="1">
                  <c:v>11223611.999999998</c:v>
                </c:pt>
                <c:pt idx="2">
                  <c:v>11746341.639999993</c:v>
                </c:pt>
                <c:pt idx="3">
                  <c:v>10271961.970000004</c:v>
                </c:pt>
              </c:numCache>
            </c:numRef>
          </c:val>
          <c:extLst>
            <c:ext xmlns:c16="http://schemas.microsoft.com/office/drawing/2014/chart" uri="{C3380CC4-5D6E-409C-BE32-E72D297353CC}">
              <c16:uniqueId val="{00000000-0D3D-4210-B3A1-24C649A47C8A}"/>
            </c:ext>
          </c:extLst>
        </c:ser>
        <c:dLbls>
          <c:dLblPos val="outEnd"/>
          <c:showLegendKey val="0"/>
          <c:showVal val="1"/>
          <c:showCatName val="0"/>
          <c:showSerName val="0"/>
          <c:showPercent val="0"/>
          <c:showBubbleSize val="0"/>
        </c:dLbls>
        <c:gapWidth val="219"/>
        <c:overlap val="-27"/>
        <c:axId val="898080928"/>
        <c:axId val="578500176"/>
      </c:barChart>
      <c:catAx>
        <c:axId val="89808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500176"/>
        <c:crosses val="autoZero"/>
        <c:auto val="1"/>
        <c:lblAlgn val="ctr"/>
        <c:lblOffset val="100"/>
        <c:noMultiLvlLbl val="0"/>
      </c:catAx>
      <c:valAx>
        <c:axId val="5785001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080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 final.xlsx]Pivot!PivotTable7</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Total Profit</a:t>
            </a:r>
          </a:p>
        </c:rich>
      </c:tx>
      <c:overlay val="1"/>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Pivot!$H$30</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B18-4A6D-AB41-03CC5D2B030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B18-4A6D-AB41-03CC5D2B030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B18-4A6D-AB41-03CC5D2B030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Pivot!$G$31:$G$34</c:f>
              <c:strCache>
                <c:ptCount val="3"/>
                <c:pt idx="0">
                  <c:v>Furniture</c:v>
                </c:pt>
                <c:pt idx="1">
                  <c:v>Office Supplies</c:v>
                </c:pt>
                <c:pt idx="2">
                  <c:v>Technology</c:v>
                </c:pt>
              </c:strCache>
            </c:strRef>
          </c:cat>
          <c:val>
            <c:numRef>
              <c:f>Pivot!$H$31:$H$34</c:f>
              <c:numCache>
                <c:formatCode>"₹"\ #,##0</c:formatCode>
                <c:ptCount val="3"/>
                <c:pt idx="0">
                  <c:v>1973310.5300000017</c:v>
                </c:pt>
                <c:pt idx="1">
                  <c:v>1989364.6799999992</c:v>
                </c:pt>
                <c:pt idx="2">
                  <c:v>1964641.6900000006</c:v>
                </c:pt>
              </c:numCache>
            </c:numRef>
          </c:val>
          <c:extLst>
            <c:ext xmlns:c16="http://schemas.microsoft.com/office/drawing/2014/chart" uri="{C3380CC4-5D6E-409C-BE32-E72D297353CC}">
              <c16:uniqueId val="{00000006-9B18-4A6D-AB41-03CC5D2B0309}"/>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 final.xlsx]Pivot!PivotTable8</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Monthly Sales Trend</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Pivot!$B$45</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Pivot!$A$46:$A$58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Pivot!$B$46:$B$58</c:f>
              <c:numCache>
                <c:formatCode>"₹"\ #,##0</c:formatCode>
                <c:ptCount val="12"/>
                <c:pt idx="0">
                  <c:v>4294792.6300000008</c:v>
                </c:pt>
                <c:pt idx="1">
                  <c:v>3816218.6700000004</c:v>
                </c:pt>
                <c:pt idx="2">
                  <c:v>3795738.17</c:v>
                </c:pt>
                <c:pt idx="3">
                  <c:v>3362693.53</c:v>
                </c:pt>
                <c:pt idx="4">
                  <c:v>4597234.6099999994</c:v>
                </c:pt>
                <c:pt idx="5">
                  <c:v>3098812.620000001</c:v>
                </c:pt>
                <c:pt idx="6">
                  <c:v>3057941.3900000011</c:v>
                </c:pt>
                <c:pt idx="7">
                  <c:v>3680838.4499999993</c:v>
                </c:pt>
                <c:pt idx="8">
                  <c:v>4497883.8100000015</c:v>
                </c:pt>
                <c:pt idx="9">
                  <c:v>2885575.3299999991</c:v>
                </c:pt>
                <c:pt idx="10">
                  <c:v>4142772.5100000007</c:v>
                </c:pt>
                <c:pt idx="11">
                  <c:v>3832201.5900000003</c:v>
                </c:pt>
              </c:numCache>
            </c:numRef>
          </c:val>
          <c:smooth val="0"/>
          <c:extLst>
            <c:ext xmlns:c16="http://schemas.microsoft.com/office/drawing/2014/chart" uri="{C3380CC4-5D6E-409C-BE32-E72D297353CC}">
              <c16:uniqueId val="{00000000-2C79-40E7-AA18-2D1261E7810E}"/>
            </c:ext>
          </c:extLst>
        </c:ser>
        <c:dLbls>
          <c:showLegendKey val="0"/>
          <c:showVal val="0"/>
          <c:showCatName val="0"/>
          <c:showSerName val="0"/>
          <c:showPercent val="0"/>
          <c:showBubbleSize val="0"/>
        </c:dLbls>
        <c:marker val="1"/>
        <c:smooth val="0"/>
        <c:axId val="580614960"/>
        <c:axId val="578508336"/>
      </c:lineChart>
      <c:catAx>
        <c:axId val="5806149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508336"/>
        <c:crosses val="autoZero"/>
        <c:auto val="1"/>
        <c:lblAlgn val="ctr"/>
        <c:lblOffset val="100"/>
        <c:noMultiLvlLbl val="0"/>
      </c:catAx>
      <c:valAx>
        <c:axId val="5785083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614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 final.xlsx]Pivot!PivotTable9</c:name>
    <c:fmtId val="8"/>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Top 10 Products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Pivot!$H$45</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cat>
            <c:strRef>
              <c:f>Pivot!$G$46:$G$56</c:f>
              <c:strCache>
                <c:ptCount val="10"/>
                <c:pt idx="0">
                  <c:v>Chair Model 140</c:v>
                </c:pt>
                <c:pt idx="1">
                  <c:v>Laptop Model 332</c:v>
                </c:pt>
                <c:pt idx="2">
                  <c:v>Laptop Model 382</c:v>
                </c:pt>
                <c:pt idx="3">
                  <c:v>Laptop Model 823</c:v>
                </c:pt>
                <c:pt idx="4">
                  <c:v>Monitor Model 191</c:v>
                </c:pt>
                <c:pt idx="5">
                  <c:v>Monitor Model 603</c:v>
                </c:pt>
                <c:pt idx="6">
                  <c:v>Monitor Model 758</c:v>
                </c:pt>
                <c:pt idx="7">
                  <c:v>Paper Model 459</c:v>
                </c:pt>
                <c:pt idx="8">
                  <c:v>Sofa Model 587</c:v>
                </c:pt>
                <c:pt idx="9">
                  <c:v>Table Model 512</c:v>
                </c:pt>
              </c:strCache>
            </c:strRef>
          </c:cat>
          <c:val>
            <c:numRef>
              <c:f>Pivot!$H$46:$H$56</c:f>
              <c:numCache>
                <c:formatCode>"₹"\ #,##0</c:formatCode>
                <c:ptCount val="10"/>
                <c:pt idx="0">
                  <c:v>108389.42</c:v>
                </c:pt>
                <c:pt idx="1">
                  <c:v>142564.19</c:v>
                </c:pt>
                <c:pt idx="2">
                  <c:v>112527.6</c:v>
                </c:pt>
                <c:pt idx="3">
                  <c:v>142130.97999999998</c:v>
                </c:pt>
                <c:pt idx="4">
                  <c:v>135733.29</c:v>
                </c:pt>
                <c:pt idx="5">
                  <c:v>122308.49</c:v>
                </c:pt>
                <c:pt idx="6">
                  <c:v>110426.51999999999</c:v>
                </c:pt>
                <c:pt idx="7">
                  <c:v>112080.67</c:v>
                </c:pt>
                <c:pt idx="8">
                  <c:v>166147.38</c:v>
                </c:pt>
                <c:pt idx="9">
                  <c:v>127623.95</c:v>
                </c:pt>
              </c:numCache>
            </c:numRef>
          </c:val>
          <c:extLst>
            <c:ext xmlns:c16="http://schemas.microsoft.com/office/drawing/2014/chart" uri="{C3380CC4-5D6E-409C-BE32-E72D297353CC}">
              <c16:uniqueId val="{00000000-4CF1-4D33-8DC9-9368DD8AF524}"/>
            </c:ext>
          </c:extLst>
        </c:ser>
        <c:dLbls>
          <c:showLegendKey val="0"/>
          <c:showVal val="0"/>
          <c:showCatName val="0"/>
          <c:showSerName val="0"/>
          <c:showPercent val="0"/>
          <c:showBubbleSize val="0"/>
        </c:dLbls>
        <c:gapWidth val="227"/>
        <c:overlap val="-48"/>
        <c:axId val="918444176"/>
        <c:axId val="578448816"/>
      </c:barChart>
      <c:catAx>
        <c:axId val="918444176"/>
        <c:scaling>
          <c:orientation val="minMax"/>
        </c:scaling>
        <c:delete val="0"/>
        <c:axPos val="l"/>
        <c:numFmt formatCode="General" sourceLinked="1"/>
        <c:majorTickMark val="out"/>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448816"/>
        <c:crosses val="autoZero"/>
        <c:auto val="1"/>
        <c:lblAlgn val="ctr"/>
        <c:lblOffset val="100"/>
        <c:noMultiLvlLbl val="0"/>
      </c:catAx>
      <c:valAx>
        <c:axId val="578448816"/>
        <c:scaling>
          <c:orientation val="minMax"/>
        </c:scaling>
        <c:delete val="0"/>
        <c:axPos val="b"/>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444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 final.xlsx]Pivot!PivotTable10</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Salesperson Performance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Pivot!$H$65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Pivot!$G$66:$G$74</c:f>
              <c:strCache>
                <c:ptCount val="8"/>
                <c:pt idx="0">
                  <c:v>Sneha</c:v>
                </c:pt>
                <c:pt idx="1">
                  <c:v>Priya</c:v>
                </c:pt>
                <c:pt idx="2">
                  <c:v>Rohit</c:v>
                </c:pt>
                <c:pt idx="3">
                  <c:v>Neha</c:v>
                </c:pt>
                <c:pt idx="4">
                  <c:v>Rahul</c:v>
                </c:pt>
                <c:pt idx="5">
                  <c:v>Vikas</c:v>
                </c:pt>
                <c:pt idx="6">
                  <c:v>Amit</c:v>
                </c:pt>
                <c:pt idx="7">
                  <c:v>Karan</c:v>
                </c:pt>
              </c:strCache>
            </c:strRef>
          </c:cat>
          <c:val>
            <c:numRef>
              <c:f>Pivot!$H$66:$H$74</c:f>
              <c:numCache>
                <c:formatCode>"₹"\ #,##0</c:formatCode>
                <c:ptCount val="8"/>
                <c:pt idx="0">
                  <c:v>6538424.0200000033</c:v>
                </c:pt>
                <c:pt idx="1">
                  <c:v>6217318.1899999985</c:v>
                </c:pt>
                <c:pt idx="2">
                  <c:v>5908511.5800000038</c:v>
                </c:pt>
                <c:pt idx="3">
                  <c:v>5764623.179999996</c:v>
                </c:pt>
                <c:pt idx="4">
                  <c:v>5244966.6000000024</c:v>
                </c:pt>
                <c:pt idx="5">
                  <c:v>5242036.9799999995</c:v>
                </c:pt>
                <c:pt idx="6">
                  <c:v>5078243.33</c:v>
                </c:pt>
                <c:pt idx="7">
                  <c:v>5068579.4300000025</c:v>
                </c:pt>
              </c:numCache>
            </c:numRef>
          </c:val>
          <c:extLst>
            <c:ext xmlns:c16="http://schemas.microsoft.com/office/drawing/2014/chart" uri="{C3380CC4-5D6E-409C-BE32-E72D297353CC}">
              <c16:uniqueId val="{00000000-D7B9-4A8C-8519-D4EE5710CF55}"/>
            </c:ext>
          </c:extLst>
        </c:ser>
        <c:dLbls>
          <c:showLegendKey val="0"/>
          <c:showVal val="0"/>
          <c:showCatName val="0"/>
          <c:showSerName val="0"/>
          <c:showPercent val="0"/>
          <c:showBubbleSize val="0"/>
        </c:dLbls>
        <c:gapWidth val="100"/>
        <c:overlap val="-24"/>
        <c:axId val="960455296"/>
        <c:axId val="584899696"/>
      </c:barChart>
      <c:catAx>
        <c:axId val="9604552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899696"/>
        <c:crosses val="autoZero"/>
        <c:auto val="1"/>
        <c:lblAlgn val="ctr"/>
        <c:lblOffset val="100"/>
        <c:noMultiLvlLbl val="0"/>
      </c:catAx>
      <c:valAx>
        <c:axId val="5848996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45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 final.xlsx]Pivot!PivotTable12</c:name>
    <c:fmtId val="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Segment-Wise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Pivot!$B$70</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D8D-4801-BC20-BFA8A8B4530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D8D-4801-BC20-BFA8A8B4530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AD8D-4801-BC20-BFA8A8B4530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Pivot!$A$71:$A$74</c:f>
              <c:strCache>
                <c:ptCount val="3"/>
                <c:pt idx="0">
                  <c:v>Consumer</c:v>
                </c:pt>
                <c:pt idx="1">
                  <c:v>Corporate</c:v>
                </c:pt>
                <c:pt idx="2">
                  <c:v>Home Office</c:v>
                </c:pt>
              </c:strCache>
            </c:strRef>
          </c:cat>
          <c:val>
            <c:numRef>
              <c:f>Pivot!$B$71:$B$74</c:f>
              <c:numCache>
                <c:formatCode>"₹"\ #,##0</c:formatCode>
                <c:ptCount val="3"/>
                <c:pt idx="0">
                  <c:v>13868694.940000001</c:v>
                </c:pt>
                <c:pt idx="1">
                  <c:v>13450272.210000003</c:v>
                </c:pt>
                <c:pt idx="2">
                  <c:v>17743736.159999982</c:v>
                </c:pt>
              </c:numCache>
            </c:numRef>
          </c:val>
          <c:extLst>
            <c:ext xmlns:c16="http://schemas.microsoft.com/office/drawing/2014/chart" uri="{C3380CC4-5D6E-409C-BE32-E72D297353CC}">
              <c16:uniqueId val="{00000006-AD8D-4801-BC20-BFA8A8B4530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400837</xdr:colOff>
      <xdr:row>2</xdr:row>
      <xdr:rowOff>72888</xdr:rowOff>
    </xdr:from>
    <xdr:to>
      <xdr:col>3</xdr:col>
      <xdr:colOff>166837</xdr:colOff>
      <xdr:row>6</xdr:row>
      <xdr:rowOff>64912</xdr:rowOff>
    </xdr:to>
    <xdr:sp macro="" textlink="Pivot!C2">
      <xdr:nvSpPr>
        <xdr:cNvPr id="2" name="Rectangle: Rounded Corners 1">
          <a:extLst>
            <a:ext uri="{FF2B5EF4-FFF2-40B4-BE49-F238E27FC236}">
              <a16:creationId xmlns:a16="http://schemas.microsoft.com/office/drawing/2014/main" id="{2AE9BB40-1DE3-BBC7-7DAE-6851B322AD08}"/>
            </a:ext>
          </a:extLst>
        </xdr:cNvPr>
        <xdr:cNvSpPr/>
      </xdr:nvSpPr>
      <xdr:spPr>
        <a:xfrm>
          <a:off x="400837" y="934279"/>
          <a:ext cx="1594800" cy="7341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t>💰</a:t>
          </a:r>
          <a:r>
            <a:rPr lang="en-US" sz="1200" b="1" i="0" u="none" strike="noStrike">
              <a:solidFill>
                <a:schemeClr val="bg1"/>
              </a:solidFill>
              <a:latin typeface="Calibri"/>
              <a:ea typeface="Calibri"/>
              <a:cs typeface="Calibri"/>
            </a:rPr>
            <a:t>Total Sales</a:t>
          </a:r>
        </a:p>
        <a:p>
          <a:pPr algn="l"/>
          <a:fld id="{AF73DF30-74AA-4514-B06A-ED932DB8DC4E}" type="TxLink">
            <a:rPr lang="en-US" sz="1200" b="1" i="0" u="none" strike="noStrike">
              <a:solidFill>
                <a:schemeClr val="bg1"/>
              </a:solidFill>
              <a:latin typeface="Calibri"/>
              <a:ea typeface="Calibri"/>
              <a:cs typeface="Calibri"/>
            </a:rPr>
            <a:pPr algn="l"/>
            <a:t>₹45.06M</a:t>
          </a:fld>
          <a:endParaRPr lang="en-US" sz="1400" b="1">
            <a:solidFill>
              <a:schemeClr val="bg1"/>
            </a:solidFill>
          </a:endParaRPr>
        </a:p>
      </xdr:txBody>
    </xdr:sp>
    <xdr:clientData/>
  </xdr:twoCellAnchor>
  <xdr:twoCellAnchor>
    <xdr:from>
      <xdr:col>3</xdr:col>
      <xdr:colOff>577505</xdr:colOff>
      <xdr:row>2</xdr:row>
      <xdr:rowOff>79513</xdr:rowOff>
    </xdr:from>
    <xdr:to>
      <xdr:col>6</xdr:col>
      <xdr:colOff>343505</xdr:colOff>
      <xdr:row>6</xdr:row>
      <xdr:rowOff>71537</xdr:rowOff>
    </xdr:to>
    <xdr:sp macro="" textlink="Pivot!D9">
      <xdr:nvSpPr>
        <xdr:cNvPr id="3" name="Rectangle: Rounded Corners 2">
          <a:extLst>
            <a:ext uri="{FF2B5EF4-FFF2-40B4-BE49-F238E27FC236}">
              <a16:creationId xmlns:a16="http://schemas.microsoft.com/office/drawing/2014/main" id="{2DD4C0CE-0BF3-422A-B834-6609714BEEC7}"/>
            </a:ext>
          </a:extLst>
        </xdr:cNvPr>
        <xdr:cNvSpPr/>
      </xdr:nvSpPr>
      <xdr:spPr>
        <a:xfrm>
          <a:off x="2406305" y="940904"/>
          <a:ext cx="1594800" cy="7341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t>📈</a:t>
          </a:r>
          <a:r>
            <a:rPr lang="en-US" sz="1200" b="0" i="0" u="none" strike="noStrike">
              <a:solidFill>
                <a:schemeClr val="bg1"/>
              </a:solidFill>
              <a:latin typeface="Calibri"/>
              <a:ea typeface="Calibri"/>
              <a:cs typeface="Calibri"/>
            </a:rPr>
            <a:t>Total Profit</a:t>
          </a:r>
        </a:p>
        <a:p>
          <a:pPr algn="l"/>
          <a:fld id="{474846E5-3E84-495D-9187-7D63979C6C60}" type="TxLink">
            <a:rPr lang="en-US" sz="1200" b="0" i="0" u="none" strike="noStrike">
              <a:solidFill>
                <a:schemeClr val="bg1"/>
              </a:solidFill>
              <a:latin typeface="Calibri"/>
              <a:ea typeface="Calibri"/>
              <a:cs typeface="Calibri"/>
            </a:rPr>
            <a:pPr algn="l"/>
            <a:t>₹5.93M</a:t>
          </a:fld>
          <a:endParaRPr lang="en-IN" sz="1400" b="1">
            <a:solidFill>
              <a:schemeClr val="bg1"/>
            </a:solidFill>
          </a:endParaRPr>
        </a:p>
      </xdr:txBody>
    </xdr:sp>
    <xdr:clientData/>
  </xdr:twoCellAnchor>
  <xdr:twoCellAnchor>
    <xdr:from>
      <xdr:col>7</xdr:col>
      <xdr:colOff>326558</xdr:colOff>
      <xdr:row>2</xdr:row>
      <xdr:rowOff>79513</xdr:rowOff>
    </xdr:from>
    <xdr:to>
      <xdr:col>10</xdr:col>
      <xdr:colOff>92558</xdr:colOff>
      <xdr:row>6</xdr:row>
      <xdr:rowOff>71537</xdr:rowOff>
    </xdr:to>
    <xdr:sp macro="" textlink="Pivot!$A$16">
      <xdr:nvSpPr>
        <xdr:cNvPr id="4" name="Rectangle: Rounded Corners 3">
          <a:extLst>
            <a:ext uri="{FF2B5EF4-FFF2-40B4-BE49-F238E27FC236}">
              <a16:creationId xmlns:a16="http://schemas.microsoft.com/office/drawing/2014/main" id="{1B3CEE0C-219D-40A3-AAC0-D1E0D3B6A728}"/>
            </a:ext>
          </a:extLst>
        </xdr:cNvPr>
        <xdr:cNvSpPr/>
      </xdr:nvSpPr>
      <xdr:spPr>
        <a:xfrm>
          <a:off x="4593758" y="940904"/>
          <a:ext cx="1594800" cy="7341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t>📦</a:t>
          </a:r>
          <a:r>
            <a:rPr lang="en-US" sz="1200" b="1" i="0" u="none" strike="noStrike">
              <a:solidFill>
                <a:schemeClr val="bg1"/>
              </a:solidFill>
              <a:latin typeface="Calibri"/>
              <a:ea typeface="Calibri"/>
              <a:cs typeface="Calibri"/>
            </a:rPr>
            <a:t>Orders</a:t>
          </a:r>
        </a:p>
        <a:p>
          <a:pPr algn="l"/>
          <a:fld id="{83918D83-E6D2-486D-A956-2AB325C7B8C4}" type="TxLink">
            <a:rPr lang="en-US" sz="1200" b="1" i="0" u="none" strike="noStrike">
              <a:solidFill>
                <a:schemeClr val="bg1"/>
              </a:solidFill>
              <a:latin typeface="Calibri"/>
              <a:ea typeface="Calibri"/>
              <a:cs typeface="Calibri"/>
            </a:rPr>
            <a:pPr algn="l"/>
            <a:t>1000</a:t>
          </a:fld>
          <a:endParaRPr lang="en-IN" sz="1200" b="1">
            <a:solidFill>
              <a:schemeClr val="bg1"/>
            </a:solidFill>
          </a:endParaRPr>
        </a:p>
      </xdr:txBody>
    </xdr:sp>
    <xdr:clientData/>
  </xdr:twoCellAnchor>
  <xdr:twoCellAnchor>
    <xdr:from>
      <xdr:col>0</xdr:col>
      <xdr:colOff>408458</xdr:colOff>
      <xdr:row>6</xdr:row>
      <xdr:rowOff>136023</xdr:rowOff>
    </xdr:from>
    <xdr:to>
      <xdr:col>3</xdr:col>
      <xdr:colOff>174458</xdr:colOff>
      <xdr:row>10</xdr:row>
      <xdr:rowOff>121810</xdr:rowOff>
    </xdr:to>
    <xdr:sp macro="" textlink="Pivot!C9">
      <xdr:nvSpPr>
        <xdr:cNvPr id="5" name="Rectangle: Rounded Corners 4">
          <a:extLst>
            <a:ext uri="{FF2B5EF4-FFF2-40B4-BE49-F238E27FC236}">
              <a16:creationId xmlns:a16="http://schemas.microsoft.com/office/drawing/2014/main" id="{2FD3B328-92DE-4D12-BC7C-B9F13A6FBD1B}"/>
            </a:ext>
          </a:extLst>
        </xdr:cNvPr>
        <xdr:cNvSpPr/>
      </xdr:nvSpPr>
      <xdr:spPr>
        <a:xfrm>
          <a:off x="408458" y="1739536"/>
          <a:ext cx="1594800" cy="72790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200"/>
            <a:t>👥</a:t>
          </a:r>
          <a:r>
            <a:rPr lang="en-US" sz="1200" b="1" i="0" u="none" strike="noStrike">
              <a:solidFill>
                <a:schemeClr val="bg1"/>
              </a:solidFill>
              <a:effectLst/>
              <a:latin typeface="Calibri"/>
              <a:ea typeface="Calibri"/>
              <a:cs typeface="Calibri"/>
            </a:rPr>
            <a:t>Total Customers</a:t>
          </a:r>
        </a:p>
        <a:p>
          <a:pPr marL="0" marR="0" lvl="0" indent="0" algn="l" defTabSz="914400" eaLnBrk="1" fontAlgn="auto" latinLnBrk="0" hangingPunct="1">
            <a:lnSpc>
              <a:spcPct val="100000"/>
            </a:lnSpc>
            <a:spcBef>
              <a:spcPts val="0"/>
            </a:spcBef>
            <a:spcAft>
              <a:spcPts val="0"/>
            </a:spcAft>
            <a:buClrTx/>
            <a:buSzTx/>
            <a:buFontTx/>
            <a:buNone/>
            <a:tabLst/>
            <a:defRPr/>
          </a:pPr>
          <a:fld id="{703DC220-E5EF-424E-8D66-01A9EA5DBE7B}" type="TxLink">
            <a:rPr lang="en-US" sz="1200" b="1" i="0" u="none" strike="noStrike">
              <a:solidFill>
                <a:schemeClr val="bg1"/>
              </a:solidFill>
              <a:effectLst/>
              <a:latin typeface="Calibri"/>
              <a:ea typeface="Calibri"/>
              <a:cs typeface="Calibri"/>
            </a:rPr>
            <a:pPr marL="0" marR="0" lvl="0" indent="0" algn="l" defTabSz="914400" eaLnBrk="1" fontAlgn="auto" latinLnBrk="0" hangingPunct="1">
              <a:lnSpc>
                <a:spcPct val="100000"/>
              </a:lnSpc>
              <a:spcBef>
                <a:spcPts val="0"/>
              </a:spcBef>
              <a:spcAft>
                <a:spcPts val="0"/>
              </a:spcAft>
              <a:buClrTx/>
              <a:buSzTx/>
              <a:buFontTx/>
              <a:buNone/>
              <a:tabLst/>
              <a:defRPr/>
            </a:pPr>
            <a:t>292</a:t>
          </a:fld>
          <a:endParaRPr lang="en-IN" sz="1400" b="1">
            <a:solidFill>
              <a:schemeClr val="bg1"/>
            </a:solidFill>
            <a:latin typeface="+mn-lt"/>
          </a:endParaRPr>
        </a:p>
      </xdr:txBody>
    </xdr:sp>
    <xdr:clientData/>
  </xdr:twoCellAnchor>
  <xdr:twoCellAnchor>
    <xdr:from>
      <xdr:col>3</xdr:col>
      <xdr:colOff>579367</xdr:colOff>
      <xdr:row>6</xdr:row>
      <xdr:rowOff>134471</xdr:rowOff>
    </xdr:from>
    <xdr:to>
      <xdr:col>6</xdr:col>
      <xdr:colOff>345724</xdr:colOff>
      <xdr:row>10</xdr:row>
      <xdr:rowOff>125895</xdr:rowOff>
    </xdr:to>
    <xdr:sp macro="" textlink="Pivot!D14">
      <xdr:nvSpPr>
        <xdr:cNvPr id="6" name="Rectangle: Rounded Corners 5">
          <a:extLst>
            <a:ext uri="{FF2B5EF4-FFF2-40B4-BE49-F238E27FC236}">
              <a16:creationId xmlns:a16="http://schemas.microsoft.com/office/drawing/2014/main" id="{FBB9AEB9-DBEA-43EE-9826-9D946F4AE1D6}"/>
            </a:ext>
          </a:extLst>
        </xdr:cNvPr>
        <xdr:cNvSpPr/>
      </xdr:nvSpPr>
      <xdr:spPr>
        <a:xfrm>
          <a:off x="2408167" y="1737984"/>
          <a:ext cx="1595157" cy="7335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a:t>💳</a:t>
          </a:r>
          <a:r>
            <a:rPr lang="en-IN" sz="1050" b="1">
              <a:solidFill>
                <a:schemeClr val="bg1"/>
              </a:solidFill>
            </a:rPr>
            <a:t>Average Order Value</a:t>
          </a:r>
        </a:p>
        <a:p>
          <a:pPr algn="l"/>
          <a:fld id="{440F9D8A-56A3-4F42-A6CF-F131820254CE}" type="TxLink">
            <a:rPr lang="en-US" sz="1200" b="1" i="0" u="none" strike="noStrike">
              <a:solidFill>
                <a:schemeClr val="bg1"/>
              </a:solidFill>
              <a:latin typeface="Calibri"/>
              <a:ea typeface="Calibri"/>
              <a:cs typeface="Calibri"/>
            </a:rPr>
            <a:pPr algn="l"/>
            <a:t>₹ 45,063</a:t>
          </a:fld>
          <a:endParaRPr lang="en-IN" sz="1400" b="1">
            <a:solidFill>
              <a:schemeClr val="bg1"/>
            </a:solidFill>
          </a:endParaRPr>
        </a:p>
      </xdr:txBody>
    </xdr:sp>
    <xdr:clientData/>
  </xdr:twoCellAnchor>
  <xdr:twoCellAnchor>
    <xdr:from>
      <xdr:col>7</xdr:col>
      <xdr:colOff>322236</xdr:colOff>
      <xdr:row>6</xdr:row>
      <xdr:rowOff>139875</xdr:rowOff>
    </xdr:from>
    <xdr:to>
      <xdr:col>10</xdr:col>
      <xdr:colOff>88236</xdr:colOff>
      <xdr:row>10</xdr:row>
      <xdr:rowOff>125662</xdr:rowOff>
    </xdr:to>
    <xdr:sp macro="" textlink="Pivot!F7">
      <xdr:nvSpPr>
        <xdr:cNvPr id="7" name="Rectangle: Rounded Corners 6">
          <a:extLst>
            <a:ext uri="{FF2B5EF4-FFF2-40B4-BE49-F238E27FC236}">
              <a16:creationId xmlns:a16="http://schemas.microsoft.com/office/drawing/2014/main" id="{82E7D6B3-23FA-49E0-9C44-D319B10BD6AA}"/>
            </a:ext>
          </a:extLst>
        </xdr:cNvPr>
        <xdr:cNvSpPr/>
      </xdr:nvSpPr>
      <xdr:spPr>
        <a:xfrm>
          <a:off x="4589436" y="1743388"/>
          <a:ext cx="1594800" cy="72790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t>📊</a:t>
          </a:r>
          <a:r>
            <a:rPr lang="en-IN" sz="1200" b="1">
              <a:solidFill>
                <a:schemeClr val="bg1"/>
              </a:solidFill>
            </a:rPr>
            <a:t>Profit Margin </a:t>
          </a:r>
          <a:endParaRPr lang="en-US" sz="1200" b="1" i="0" u="none" strike="noStrike">
            <a:solidFill>
              <a:schemeClr val="bg1"/>
            </a:solidFill>
            <a:latin typeface="Calibri"/>
            <a:ea typeface="Calibri"/>
            <a:cs typeface="Calibri"/>
          </a:endParaRPr>
        </a:p>
        <a:p>
          <a:pPr algn="l"/>
          <a:fld id="{A990999F-BA87-41FA-89A7-CF984A1C2327}" type="TxLink">
            <a:rPr lang="en-US" sz="1200" b="1" i="0" u="none" strike="noStrike">
              <a:solidFill>
                <a:schemeClr val="bg1"/>
              </a:solidFill>
              <a:latin typeface="Calibri"/>
              <a:ea typeface="Calibri"/>
              <a:cs typeface="Calibri"/>
            </a:rPr>
            <a:pPr algn="l"/>
            <a:t>13%</a:t>
          </a:fld>
          <a:endParaRPr lang="en-IN" sz="1200" b="1">
            <a:solidFill>
              <a:schemeClr val="bg1"/>
            </a:solidFill>
          </a:endParaRPr>
        </a:p>
      </xdr:txBody>
    </xdr:sp>
    <xdr:clientData/>
  </xdr:twoCellAnchor>
  <xdr:twoCellAnchor>
    <xdr:from>
      <xdr:col>10</xdr:col>
      <xdr:colOff>402662</xdr:colOff>
      <xdr:row>6</xdr:row>
      <xdr:rowOff>135858</xdr:rowOff>
    </xdr:from>
    <xdr:to>
      <xdr:col>13</xdr:col>
      <xdr:colOff>168662</xdr:colOff>
      <xdr:row>10</xdr:row>
      <xdr:rowOff>127881</xdr:rowOff>
    </xdr:to>
    <xdr:sp macro="" textlink="Pivot!F4">
      <xdr:nvSpPr>
        <xdr:cNvPr id="8" name="Rectangle: Rounded Corners 7">
          <a:extLst>
            <a:ext uri="{FF2B5EF4-FFF2-40B4-BE49-F238E27FC236}">
              <a16:creationId xmlns:a16="http://schemas.microsoft.com/office/drawing/2014/main" id="{E9850520-6B2C-4AA6-A15A-74803C7A845D}"/>
            </a:ext>
          </a:extLst>
        </xdr:cNvPr>
        <xdr:cNvSpPr/>
      </xdr:nvSpPr>
      <xdr:spPr>
        <a:xfrm>
          <a:off x="6498662" y="1739371"/>
          <a:ext cx="1594800" cy="7341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a:t>🏷️</a:t>
          </a:r>
          <a:r>
            <a:rPr lang="en-IN" sz="1050" b="1">
              <a:solidFill>
                <a:schemeClr val="bg1"/>
              </a:solidFill>
            </a:rPr>
            <a:t>Average Discount</a:t>
          </a:r>
          <a:endParaRPr lang="en-US" sz="1050" b="1" i="0" u="none" strike="noStrike">
            <a:solidFill>
              <a:schemeClr val="bg1"/>
            </a:solidFill>
            <a:latin typeface="Calibri"/>
            <a:ea typeface="Calibri"/>
            <a:cs typeface="Calibri"/>
          </a:endParaRPr>
        </a:p>
        <a:p>
          <a:pPr algn="l"/>
          <a:fld id="{7B37D675-6D80-411A-90FB-B0E8782B961E}" type="TxLink">
            <a:rPr lang="en-US" sz="1200" b="1" i="0" u="none" strike="noStrike">
              <a:solidFill>
                <a:schemeClr val="bg1"/>
              </a:solidFill>
              <a:latin typeface="Calibri"/>
              <a:ea typeface="Calibri"/>
              <a:cs typeface="Calibri"/>
            </a:rPr>
            <a:pPr algn="l"/>
            <a:t>15%</a:t>
          </a:fld>
          <a:endParaRPr lang="en-IN" sz="1400" b="1">
            <a:solidFill>
              <a:schemeClr val="bg1"/>
            </a:solidFill>
          </a:endParaRPr>
        </a:p>
      </xdr:txBody>
    </xdr:sp>
    <xdr:clientData/>
  </xdr:twoCellAnchor>
  <xdr:twoCellAnchor>
    <xdr:from>
      <xdr:col>10</xdr:col>
      <xdr:colOff>375791</xdr:colOff>
      <xdr:row>2</xdr:row>
      <xdr:rowOff>79512</xdr:rowOff>
    </xdr:from>
    <xdr:to>
      <xdr:col>13</xdr:col>
      <xdr:colOff>141791</xdr:colOff>
      <xdr:row>6</xdr:row>
      <xdr:rowOff>71536</xdr:rowOff>
    </xdr:to>
    <xdr:sp macro="" textlink="Pivot!$A$23">
      <xdr:nvSpPr>
        <xdr:cNvPr id="9" name="Rectangle: Rounded Corners 8">
          <a:extLst>
            <a:ext uri="{FF2B5EF4-FFF2-40B4-BE49-F238E27FC236}">
              <a16:creationId xmlns:a16="http://schemas.microsoft.com/office/drawing/2014/main" id="{17BF0BD2-1337-420C-9B2E-C48CF376376A}"/>
            </a:ext>
          </a:extLst>
        </xdr:cNvPr>
        <xdr:cNvSpPr/>
      </xdr:nvSpPr>
      <xdr:spPr>
        <a:xfrm>
          <a:off x="6471791" y="940903"/>
          <a:ext cx="1594800" cy="7341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t>🛒</a:t>
          </a:r>
          <a:r>
            <a:rPr lang="en-US" sz="1200" b="1" i="0" u="none" strike="noStrike">
              <a:solidFill>
                <a:schemeClr val="bg1"/>
              </a:solidFill>
              <a:latin typeface="Calibri"/>
              <a:ea typeface="Calibri"/>
              <a:cs typeface="Calibri"/>
            </a:rPr>
            <a:t>Quantity</a:t>
          </a:r>
        </a:p>
        <a:p>
          <a:pPr algn="l"/>
          <a:fld id="{F7811AFB-1C9F-49D2-8164-E1D24740D961}" type="TxLink">
            <a:rPr lang="en-US" sz="1200" b="1" i="0" u="none" strike="noStrike">
              <a:solidFill>
                <a:schemeClr val="bg1"/>
              </a:solidFill>
              <a:latin typeface="Calibri"/>
              <a:ea typeface="Calibri"/>
              <a:cs typeface="Calibri"/>
            </a:rPr>
            <a:pPr algn="l"/>
            <a:t>5485</a:t>
          </a:fld>
          <a:endParaRPr lang="en-IN" sz="1200" b="1">
            <a:solidFill>
              <a:schemeClr val="bg1"/>
            </a:solidFill>
          </a:endParaRPr>
        </a:p>
      </xdr:txBody>
    </xdr:sp>
    <xdr:clientData/>
  </xdr:twoCellAnchor>
  <xdr:twoCellAnchor>
    <xdr:from>
      <xdr:col>0</xdr:col>
      <xdr:colOff>0</xdr:colOff>
      <xdr:row>10</xdr:row>
      <xdr:rowOff>180895</xdr:rowOff>
    </xdr:from>
    <xdr:to>
      <xdr:col>6</xdr:col>
      <xdr:colOff>352800</xdr:colOff>
      <xdr:row>21</xdr:row>
      <xdr:rowOff>36169</xdr:rowOff>
    </xdr:to>
    <xdr:graphicFrame macro="">
      <xdr:nvGraphicFramePr>
        <xdr:cNvPr id="10" name="Chart 9">
          <a:extLst>
            <a:ext uri="{FF2B5EF4-FFF2-40B4-BE49-F238E27FC236}">
              <a16:creationId xmlns:a16="http://schemas.microsoft.com/office/drawing/2014/main" id="{D8D94793-D6FD-4548-AFCD-B4DA90C781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359717</xdr:colOff>
      <xdr:row>10</xdr:row>
      <xdr:rowOff>182264</xdr:rowOff>
    </xdr:from>
    <xdr:to>
      <xdr:col>13</xdr:col>
      <xdr:colOff>102917</xdr:colOff>
      <xdr:row>21</xdr:row>
      <xdr:rowOff>36080</xdr:rowOff>
    </xdr:to>
    <xdr:graphicFrame macro="">
      <xdr:nvGraphicFramePr>
        <xdr:cNvPr id="11" name="Chart 10">
          <a:extLst>
            <a:ext uri="{FF2B5EF4-FFF2-40B4-BE49-F238E27FC236}">
              <a16:creationId xmlns:a16="http://schemas.microsoft.com/office/drawing/2014/main" id="{DE3ABCE6-7D45-4A32-A082-1673DCD9A2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24814</xdr:rowOff>
    </xdr:from>
    <xdr:to>
      <xdr:col>6</xdr:col>
      <xdr:colOff>352800</xdr:colOff>
      <xdr:row>31</xdr:row>
      <xdr:rowOff>63110</xdr:rowOff>
    </xdr:to>
    <xdr:graphicFrame macro="">
      <xdr:nvGraphicFramePr>
        <xdr:cNvPr id="12" name="Chart 11">
          <a:extLst>
            <a:ext uri="{FF2B5EF4-FFF2-40B4-BE49-F238E27FC236}">
              <a16:creationId xmlns:a16="http://schemas.microsoft.com/office/drawing/2014/main" id="{D0F996BA-559A-4085-9D0D-4648DC303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354838</xdr:colOff>
      <xdr:row>21</xdr:row>
      <xdr:rowOff>13687</xdr:rowOff>
    </xdr:from>
    <xdr:to>
      <xdr:col>13</xdr:col>
      <xdr:colOff>98038</xdr:colOff>
      <xdr:row>31</xdr:row>
      <xdr:rowOff>51983</xdr:rowOff>
    </xdr:to>
    <xdr:graphicFrame macro="">
      <xdr:nvGraphicFramePr>
        <xdr:cNvPr id="13" name="Chart 12">
          <a:extLst>
            <a:ext uri="{FF2B5EF4-FFF2-40B4-BE49-F238E27FC236}">
              <a16:creationId xmlns:a16="http://schemas.microsoft.com/office/drawing/2014/main" id="{6AD0F6AD-50D8-4590-BACF-FFCF29197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31</xdr:row>
      <xdr:rowOff>64111</xdr:rowOff>
    </xdr:from>
    <xdr:to>
      <xdr:col>6</xdr:col>
      <xdr:colOff>352800</xdr:colOff>
      <xdr:row>41</xdr:row>
      <xdr:rowOff>102408</xdr:rowOff>
    </xdr:to>
    <xdr:graphicFrame macro="">
      <xdr:nvGraphicFramePr>
        <xdr:cNvPr id="14" name="Chart 13">
          <a:extLst>
            <a:ext uri="{FF2B5EF4-FFF2-40B4-BE49-F238E27FC236}">
              <a16:creationId xmlns:a16="http://schemas.microsoft.com/office/drawing/2014/main" id="{1F037B8E-BF26-47BC-92DB-698D3EE07F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348865</xdr:colOff>
      <xdr:row>31</xdr:row>
      <xdr:rowOff>55650</xdr:rowOff>
    </xdr:from>
    <xdr:to>
      <xdr:col>13</xdr:col>
      <xdr:colOff>92065</xdr:colOff>
      <xdr:row>41</xdr:row>
      <xdr:rowOff>95109</xdr:rowOff>
    </xdr:to>
    <xdr:graphicFrame macro="">
      <xdr:nvGraphicFramePr>
        <xdr:cNvPr id="15" name="Chart 14">
          <a:extLst>
            <a:ext uri="{FF2B5EF4-FFF2-40B4-BE49-F238E27FC236}">
              <a16:creationId xmlns:a16="http://schemas.microsoft.com/office/drawing/2014/main" id="{C090CC49-9CD0-4B7A-A1DC-1A229CD5D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1345</xdr:colOff>
      <xdr:row>15</xdr:row>
      <xdr:rowOff>4932</xdr:rowOff>
    </xdr:from>
    <xdr:to>
      <xdr:col>17</xdr:col>
      <xdr:colOff>595345</xdr:colOff>
      <xdr:row>20</xdr:row>
      <xdr:rowOff>44461</xdr:rowOff>
    </xdr:to>
    <mc:AlternateContent xmlns:mc="http://schemas.openxmlformats.org/markup-compatibility/2006" xmlns:a14="http://schemas.microsoft.com/office/drawing/2010/main">
      <mc:Choice Requires="a14">
        <xdr:graphicFrame macro="">
          <xdr:nvGraphicFramePr>
            <xdr:cNvPr id="16" name="Segment">
              <a:extLst>
                <a:ext uri="{FF2B5EF4-FFF2-40B4-BE49-F238E27FC236}">
                  <a16:creationId xmlns:a16="http://schemas.microsoft.com/office/drawing/2014/main" id="{30F8BFE6-6D9A-4629-B878-FB4A8C837F1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8535745" y="3196367"/>
              <a:ext cx="2422800" cy="93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7619</xdr:colOff>
      <xdr:row>3</xdr:row>
      <xdr:rowOff>15239</xdr:rowOff>
    </xdr:from>
    <xdr:to>
      <xdr:col>17</xdr:col>
      <xdr:colOff>600634</xdr:colOff>
      <xdr:row>8</xdr:row>
      <xdr:rowOff>54769</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5F061658-16DF-428E-BA41-3B78D9A4647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542019" y="1055145"/>
              <a:ext cx="2421815" cy="93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591670</xdr:colOff>
      <xdr:row>9</xdr:row>
      <xdr:rowOff>1</xdr:rowOff>
    </xdr:from>
    <xdr:to>
      <xdr:col>17</xdr:col>
      <xdr:colOff>576070</xdr:colOff>
      <xdr:row>14</xdr:row>
      <xdr:rowOff>39531</xdr:rowOff>
    </xdr:to>
    <mc:AlternateContent xmlns:mc="http://schemas.openxmlformats.org/markup-compatibility/2006" xmlns:a14="http://schemas.microsoft.com/office/drawing/2010/main">
      <mc:Choice Requires="a14">
        <xdr:graphicFrame macro="">
          <xdr:nvGraphicFramePr>
            <xdr:cNvPr id="18" name="Category">
              <a:extLst>
                <a:ext uri="{FF2B5EF4-FFF2-40B4-BE49-F238E27FC236}">
                  <a16:creationId xmlns:a16="http://schemas.microsoft.com/office/drawing/2014/main" id="{0B23C280-EF21-4FBD-A28C-63F3CF33961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516470" y="2115672"/>
              <a:ext cx="2422800" cy="93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7619</xdr:colOff>
      <xdr:row>21</xdr:row>
      <xdr:rowOff>17930</xdr:rowOff>
    </xdr:from>
    <xdr:to>
      <xdr:col>17</xdr:col>
      <xdr:colOff>601619</xdr:colOff>
      <xdr:row>27</xdr:row>
      <xdr:rowOff>8964</xdr:rowOff>
    </xdr:to>
    <mc:AlternateContent xmlns:mc="http://schemas.openxmlformats.org/markup-compatibility/2006" xmlns:a14="http://schemas.microsoft.com/office/drawing/2010/main">
      <mc:Choice Requires="a14">
        <xdr:graphicFrame macro="">
          <xdr:nvGraphicFramePr>
            <xdr:cNvPr id="19" name="Ship Mode">
              <a:extLst>
                <a:ext uri="{FF2B5EF4-FFF2-40B4-BE49-F238E27FC236}">
                  <a16:creationId xmlns:a16="http://schemas.microsoft.com/office/drawing/2014/main" id="{CA1D4497-D908-4219-BD2A-AB30CD3052F4}"/>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8542019" y="4285130"/>
              <a:ext cx="2422800" cy="1066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7619</xdr:colOff>
      <xdr:row>27</xdr:row>
      <xdr:rowOff>170329</xdr:rowOff>
    </xdr:from>
    <xdr:to>
      <xdr:col>18</xdr:col>
      <xdr:colOff>17928</xdr:colOff>
      <xdr:row>41</xdr:row>
      <xdr:rowOff>129540</xdr:rowOff>
    </xdr:to>
    <mc:AlternateContent xmlns:mc="http://schemas.openxmlformats.org/markup-compatibility/2006" xmlns:a14="http://schemas.microsoft.com/office/drawing/2010/main">
      <mc:Choice Requires="a14">
        <xdr:graphicFrame macro="">
          <xdr:nvGraphicFramePr>
            <xdr:cNvPr id="20" name="Salesperson">
              <a:extLst>
                <a:ext uri="{FF2B5EF4-FFF2-40B4-BE49-F238E27FC236}">
                  <a16:creationId xmlns:a16="http://schemas.microsoft.com/office/drawing/2014/main" id="{7B849424-1D9D-44E0-AD62-F309F64A1226}"/>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8542019" y="5513294"/>
              <a:ext cx="2448709" cy="24693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439270</xdr:colOff>
      <xdr:row>3</xdr:row>
      <xdr:rowOff>62752</xdr:rowOff>
    </xdr:from>
    <xdr:to>
      <xdr:col>25</xdr:col>
      <xdr:colOff>492070</xdr:colOff>
      <xdr:row>42</xdr:row>
      <xdr:rowOff>41564</xdr:rowOff>
    </xdr:to>
    <xdr:sp macro="" textlink="">
      <xdr:nvSpPr>
        <xdr:cNvPr id="21" name="Rectangle: Rounded Corners 20">
          <a:extLst>
            <a:ext uri="{FF2B5EF4-FFF2-40B4-BE49-F238E27FC236}">
              <a16:creationId xmlns:a16="http://schemas.microsoft.com/office/drawing/2014/main" id="{1450B7EE-B044-2863-6923-8678BD3CBA31}"/>
            </a:ext>
          </a:extLst>
        </xdr:cNvPr>
        <xdr:cNvSpPr/>
      </xdr:nvSpPr>
      <xdr:spPr>
        <a:xfrm>
          <a:off x="11412070" y="1115697"/>
          <a:ext cx="4320000" cy="7003067"/>
        </a:xfrm>
        <a:prstGeom prst="round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150" b="1">
              <a:solidFill>
                <a:schemeClr val="tx2"/>
              </a:solidFill>
            </a:rPr>
            <a:t>📌 BUSINESS INSIGHTS</a:t>
          </a:r>
        </a:p>
        <a:p>
          <a:pPr algn="l"/>
          <a:endParaRPr lang="en-IN" sz="2150" b="1">
            <a:solidFill>
              <a:schemeClr val="tx2"/>
            </a:solidFill>
          </a:endParaRPr>
        </a:p>
        <a:p>
          <a:pPr algn="l"/>
          <a:r>
            <a:rPr lang="en-IN" sz="2150" b="1">
              <a:solidFill>
                <a:schemeClr val="tx2"/>
              </a:solidFill>
            </a:rPr>
            <a:t>✅               recorded</a:t>
          </a:r>
          <a:r>
            <a:rPr lang="en-IN" sz="2400"/>
            <a:t>  </a:t>
          </a:r>
          <a:r>
            <a:rPr lang="en-IN" sz="2150" b="1">
              <a:solidFill>
                <a:schemeClr val="tx2"/>
              </a:solidFill>
            </a:rPr>
            <a:t> the highest sales.</a:t>
          </a:r>
        </a:p>
        <a:p>
          <a:pPr algn="l"/>
          <a:endParaRPr lang="en-IN" sz="2150" b="1">
            <a:solidFill>
              <a:schemeClr val="tx2"/>
            </a:solidFill>
          </a:endParaRPr>
        </a:p>
        <a:p>
          <a:pPr algn="l"/>
          <a:r>
            <a:rPr lang="en-IN" sz="2150" b="1">
              <a:solidFill>
                <a:schemeClr val="tx2"/>
              </a:solidFill>
            </a:rPr>
            <a:t>✅                   </a:t>
          </a:r>
          <a:r>
            <a:rPr lang="en-IN" sz="2150" b="1" baseline="0">
              <a:solidFill>
                <a:schemeClr val="tx2"/>
              </a:solidFill>
            </a:rPr>
            <a:t>             </a:t>
          </a:r>
          <a:r>
            <a:rPr lang="en-IN" sz="2150" b="1">
              <a:solidFill>
                <a:schemeClr val="tx2"/>
              </a:solidFill>
            </a:rPr>
            <a:t>generated</a:t>
          </a:r>
          <a:r>
            <a:rPr lang="en-IN" sz="2400"/>
            <a:t> </a:t>
          </a:r>
          <a:r>
            <a:rPr lang="en-IN" sz="2150" b="1">
              <a:solidFill>
                <a:schemeClr val="tx2"/>
              </a:solidFill>
            </a:rPr>
            <a:t> the highest profit.</a:t>
          </a:r>
        </a:p>
        <a:p>
          <a:pPr algn="l"/>
          <a:endParaRPr lang="en-IN" sz="2150" b="1">
            <a:solidFill>
              <a:schemeClr val="tx2"/>
            </a:solidFill>
          </a:endParaRPr>
        </a:p>
        <a:p>
          <a:pPr algn="l"/>
          <a:r>
            <a:rPr lang="en-IN" sz="2150" b="1">
              <a:solidFill>
                <a:schemeClr val="tx2"/>
              </a:solidFill>
            </a:rPr>
            <a:t>✅                achieved the highest   sales.</a:t>
          </a:r>
        </a:p>
        <a:p>
          <a:pPr algn="l"/>
          <a:r>
            <a:rPr lang="en-IN" sz="2150" b="1">
              <a:solidFill>
                <a:schemeClr val="tx2"/>
              </a:solidFill>
            </a:rPr>
            <a:t>✅                                  is the best-selling product.</a:t>
          </a:r>
        </a:p>
        <a:p>
          <a:pPr algn="l"/>
          <a:endParaRPr lang="en-IN" sz="2150" b="1">
            <a:solidFill>
              <a:schemeClr val="tx2"/>
            </a:solidFill>
          </a:endParaRPr>
        </a:p>
        <a:p>
          <a:pPr algn="l"/>
          <a:r>
            <a:rPr lang="en-IN" sz="2150" b="1">
              <a:solidFill>
                <a:schemeClr val="tx2"/>
              </a:solidFill>
            </a:rPr>
            <a:t>✅ Overall profit margin is  </a:t>
          </a:r>
        </a:p>
        <a:p>
          <a:pPr algn="l"/>
          <a:r>
            <a:rPr lang="en-IN" sz="2150" b="1">
              <a:solidFill>
                <a:schemeClr val="tx2"/>
              </a:solidFill>
            </a:rPr>
            <a:t>            </a:t>
          </a:r>
          <a:r>
            <a:rPr lang="en-IN" sz="2150" b="1" baseline="0">
              <a:solidFill>
                <a:schemeClr val="tx2"/>
              </a:solidFill>
            </a:rPr>
            <a:t> </a:t>
          </a:r>
          <a:r>
            <a:rPr lang="en-IN" sz="2150" b="1">
              <a:solidFill>
                <a:schemeClr val="tx2"/>
              </a:solidFill>
            </a:rPr>
            <a:t>.</a:t>
          </a:r>
        </a:p>
        <a:p>
          <a:pPr algn="l"/>
          <a:endParaRPr lang="en-IN" sz="2150" b="1">
            <a:solidFill>
              <a:schemeClr val="tx2"/>
            </a:solidFill>
          </a:endParaRPr>
        </a:p>
        <a:p>
          <a:pPr algn="l"/>
          <a:r>
            <a:rPr lang="en-IN" sz="2150" b="1">
              <a:solidFill>
                <a:schemeClr val="tx2"/>
              </a:solidFill>
            </a:rPr>
            <a:t>✅ Average discount offered is </a:t>
          </a:r>
        </a:p>
        <a:p>
          <a:pPr algn="l"/>
          <a:r>
            <a:rPr lang="en-IN" sz="2150" b="1" baseline="0">
              <a:solidFill>
                <a:schemeClr val="tx2"/>
              </a:solidFill>
            </a:rPr>
            <a:t>               .</a:t>
          </a:r>
          <a:endParaRPr lang="en-IN" sz="2150" b="1">
            <a:solidFill>
              <a:schemeClr val="tx2"/>
            </a:solidFill>
          </a:endParaRPr>
        </a:p>
      </xdr:txBody>
    </xdr:sp>
    <xdr:clientData/>
  </xdr:twoCellAnchor>
  <xdr:twoCellAnchor>
    <xdr:from>
      <xdr:col>19</xdr:col>
      <xdr:colOff>555811</xdr:colOff>
      <xdr:row>8</xdr:row>
      <xdr:rowOff>116542</xdr:rowOff>
    </xdr:from>
    <xdr:to>
      <xdr:col>21</xdr:col>
      <xdr:colOff>188258</xdr:colOff>
      <xdr:row>10</xdr:row>
      <xdr:rowOff>71718</xdr:rowOff>
    </xdr:to>
    <xdr:sp macro="" textlink="Pivot!G3">
      <xdr:nvSpPr>
        <xdr:cNvPr id="22" name="TextBox 21">
          <a:extLst>
            <a:ext uri="{FF2B5EF4-FFF2-40B4-BE49-F238E27FC236}">
              <a16:creationId xmlns:a16="http://schemas.microsoft.com/office/drawing/2014/main" id="{C7BD45BD-74D7-7A8F-6B8C-CD69D8F3569A}"/>
            </a:ext>
          </a:extLst>
        </xdr:cNvPr>
        <xdr:cNvSpPr txBox="1"/>
      </xdr:nvSpPr>
      <xdr:spPr>
        <a:xfrm>
          <a:off x="12138211" y="2052918"/>
          <a:ext cx="851647" cy="31376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82C24A-D114-4257-BF43-6CC2CB6BBC34}" type="TxLink">
            <a:rPr lang="en-US" sz="2150" b="1" i="0" u="none" strike="noStrike">
              <a:ln>
                <a:noFill/>
              </a:ln>
              <a:solidFill>
                <a:schemeClr val="tx2"/>
              </a:solidFill>
              <a:latin typeface="Calibri"/>
              <a:ea typeface="Calibri"/>
              <a:cs typeface="Calibri"/>
            </a:rPr>
            <a:pPr/>
            <a:t>East</a:t>
          </a:fld>
          <a:endParaRPr lang="en-US" sz="2150" b="1">
            <a:ln>
              <a:noFill/>
            </a:ln>
            <a:solidFill>
              <a:schemeClr val="tx2"/>
            </a:solidFill>
          </a:endParaRPr>
        </a:p>
      </xdr:txBody>
    </xdr:sp>
    <xdr:clientData/>
  </xdr:twoCellAnchor>
  <xdr:twoCellAnchor>
    <xdr:from>
      <xdr:col>19</xdr:col>
      <xdr:colOff>394448</xdr:colOff>
      <xdr:row>37</xdr:row>
      <xdr:rowOff>107576</xdr:rowOff>
    </xdr:from>
    <xdr:to>
      <xdr:col>20</xdr:col>
      <xdr:colOff>546848</xdr:colOff>
      <xdr:row>39</xdr:row>
      <xdr:rowOff>134471</xdr:rowOff>
    </xdr:to>
    <xdr:sp macro="" textlink="Pivot!F4">
      <xdr:nvSpPr>
        <xdr:cNvPr id="23" name="TextBox 22">
          <a:extLst>
            <a:ext uri="{FF2B5EF4-FFF2-40B4-BE49-F238E27FC236}">
              <a16:creationId xmlns:a16="http://schemas.microsoft.com/office/drawing/2014/main" id="{93A3A575-DAB6-DFAF-4F5A-8D3AA0C75ECA}"/>
            </a:ext>
          </a:extLst>
        </xdr:cNvPr>
        <xdr:cNvSpPr txBox="1"/>
      </xdr:nvSpPr>
      <xdr:spPr>
        <a:xfrm>
          <a:off x="11976848" y="7243482"/>
          <a:ext cx="762000" cy="38548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959FF4D-F854-478D-B914-B223E2312127}" type="TxLink">
            <a:rPr lang="en-US" sz="2150" b="1" i="0" u="none" strike="noStrike">
              <a:solidFill>
                <a:schemeClr val="tx2"/>
              </a:solidFill>
              <a:latin typeface="Calibri"/>
              <a:ea typeface="Calibri"/>
              <a:cs typeface="Calibri"/>
            </a:rPr>
            <a:pPr/>
            <a:t>15%</a:t>
          </a:fld>
          <a:endParaRPr lang="en-IN" sz="2150" b="1">
            <a:solidFill>
              <a:schemeClr val="tx2"/>
            </a:solidFill>
          </a:endParaRPr>
        </a:p>
      </xdr:txBody>
    </xdr:sp>
    <xdr:clientData/>
  </xdr:twoCellAnchor>
  <xdr:twoCellAnchor>
    <xdr:from>
      <xdr:col>19</xdr:col>
      <xdr:colOff>537242</xdr:colOff>
      <xdr:row>14</xdr:row>
      <xdr:rowOff>76200</xdr:rowOff>
    </xdr:from>
    <xdr:to>
      <xdr:col>23</xdr:col>
      <xdr:colOff>57631</xdr:colOff>
      <xdr:row>16</xdr:row>
      <xdr:rowOff>55070</xdr:rowOff>
    </xdr:to>
    <xdr:sp macro="" textlink="Pivot!G31">
      <xdr:nvSpPr>
        <xdr:cNvPr id="25" name="TextBox 24">
          <a:extLst>
            <a:ext uri="{FF2B5EF4-FFF2-40B4-BE49-F238E27FC236}">
              <a16:creationId xmlns:a16="http://schemas.microsoft.com/office/drawing/2014/main" id="{5B28BAC5-CD63-0921-2821-3DC04C192BFC}"/>
            </a:ext>
          </a:extLst>
        </xdr:cNvPr>
        <xdr:cNvSpPr txBox="1"/>
      </xdr:nvSpPr>
      <xdr:spPr>
        <a:xfrm>
          <a:off x="12119642" y="3088341"/>
          <a:ext cx="1958789" cy="337458"/>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37FFEA1-C7B2-469C-A62B-C59503505D66}" type="TxLink">
            <a:rPr lang="en-US" sz="2150" b="1" i="0" u="none" strike="noStrike">
              <a:solidFill>
                <a:schemeClr val="tx2"/>
              </a:solidFill>
              <a:latin typeface="Calibri"/>
              <a:ea typeface="Calibri"/>
              <a:cs typeface="Calibri"/>
            </a:rPr>
            <a:pPr/>
            <a:t>Furniture</a:t>
          </a:fld>
          <a:endParaRPr lang="en-IN" sz="2150" b="1">
            <a:solidFill>
              <a:schemeClr val="tx2"/>
            </a:solidFill>
          </a:endParaRPr>
        </a:p>
      </xdr:txBody>
    </xdr:sp>
    <xdr:clientData/>
  </xdr:twoCellAnchor>
  <xdr:twoCellAnchor>
    <xdr:from>
      <xdr:col>19</xdr:col>
      <xdr:colOff>518160</xdr:colOff>
      <xdr:row>19</xdr:row>
      <xdr:rowOff>165399</xdr:rowOff>
    </xdr:from>
    <xdr:to>
      <xdr:col>21</xdr:col>
      <xdr:colOff>208878</xdr:colOff>
      <xdr:row>22</xdr:row>
      <xdr:rowOff>45272</xdr:rowOff>
    </xdr:to>
    <xdr:sp macro="" textlink="Pivot!M8">
      <xdr:nvSpPr>
        <xdr:cNvPr id="26" name="TextBox 25">
          <a:extLst>
            <a:ext uri="{FF2B5EF4-FFF2-40B4-BE49-F238E27FC236}">
              <a16:creationId xmlns:a16="http://schemas.microsoft.com/office/drawing/2014/main" id="{AAF8BE08-249D-CC48-67B3-AE0E5158EBCA}"/>
            </a:ext>
          </a:extLst>
        </xdr:cNvPr>
        <xdr:cNvSpPr txBox="1"/>
      </xdr:nvSpPr>
      <xdr:spPr>
        <a:xfrm>
          <a:off x="12100560" y="4135419"/>
          <a:ext cx="909918" cy="42851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51537F7-A72B-4FFA-96F1-5ACDADA1159E}" type="TxLink">
            <a:rPr lang="en-US" sz="2150" b="1" i="0" u="none" strike="noStrike">
              <a:solidFill>
                <a:schemeClr val="tx2"/>
              </a:solidFill>
              <a:latin typeface="Calibri"/>
              <a:ea typeface="Calibri"/>
              <a:cs typeface="Calibri"/>
            </a:rPr>
            <a:pPr/>
            <a:t>Sneha</a:t>
          </a:fld>
          <a:endParaRPr lang="en-IN" sz="2150" b="1">
            <a:solidFill>
              <a:schemeClr val="tx2"/>
            </a:solidFill>
          </a:endParaRPr>
        </a:p>
      </xdr:txBody>
    </xdr:sp>
    <xdr:clientData/>
  </xdr:twoCellAnchor>
  <xdr:oneCellAnchor>
    <xdr:from>
      <xdr:col>19</xdr:col>
      <xdr:colOff>475129</xdr:colOff>
      <xdr:row>24</xdr:row>
      <xdr:rowOff>17930</xdr:rowOff>
    </xdr:from>
    <xdr:ext cx="2070847" cy="428900"/>
    <xdr:sp macro="" textlink="Pivot!G46">
      <xdr:nvSpPr>
        <xdr:cNvPr id="28" name="TextBox 27">
          <a:extLst>
            <a:ext uri="{FF2B5EF4-FFF2-40B4-BE49-F238E27FC236}">
              <a16:creationId xmlns:a16="http://schemas.microsoft.com/office/drawing/2014/main" id="{679F6D0C-0250-679A-7757-BF4E19654F51}"/>
            </a:ext>
          </a:extLst>
        </xdr:cNvPr>
        <xdr:cNvSpPr txBox="1"/>
      </xdr:nvSpPr>
      <xdr:spPr>
        <a:xfrm>
          <a:off x="12057529" y="4823012"/>
          <a:ext cx="2070847" cy="4289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fld id="{9EF0B428-BA95-45B8-83B2-A1FB383A31E8}" type="TxLink">
            <a:rPr lang="en-US" sz="2150" b="1" i="0" u="none" strike="noStrike">
              <a:solidFill>
                <a:schemeClr val="tx2"/>
              </a:solidFill>
              <a:latin typeface="Calibri"/>
              <a:ea typeface="Calibri"/>
              <a:cs typeface="Calibri"/>
            </a:rPr>
            <a:pPr/>
            <a:t>Chair Model 140</a:t>
          </a:fld>
          <a:endParaRPr lang="en-US" sz="2150" b="1" i="0" u="none" strike="noStrike">
            <a:solidFill>
              <a:schemeClr val="tx2"/>
            </a:solidFill>
            <a:latin typeface="Calibri"/>
            <a:ea typeface="Calibri"/>
            <a:cs typeface="Calibri"/>
          </a:endParaRPr>
        </a:p>
      </xdr:txBody>
    </xdr:sp>
    <xdr:clientData/>
  </xdr:oneCellAnchor>
  <xdr:twoCellAnchor>
    <xdr:from>
      <xdr:col>19</xdr:col>
      <xdr:colOff>313763</xdr:colOff>
      <xdr:row>31</xdr:row>
      <xdr:rowOff>161365</xdr:rowOff>
    </xdr:from>
    <xdr:to>
      <xdr:col>20</xdr:col>
      <xdr:colOff>609598</xdr:colOff>
      <xdr:row>34</xdr:row>
      <xdr:rowOff>89646</xdr:rowOff>
    </xdr:to>
    <xdr:sp macro="" textlink="Pivot!F7">
      <xdr:nvSpPr>
        <xdr:cNvPr id="29" name="TextBox 28">
          <a:extLst>
            <a:ext uri="{FF2B5EF4-FFF2-40B4-BE49-F238E27FC236}">
              <a16:creationId xmlns:a16="http://schemas.microsoft.com/office/drawing/2014/main" id="{0D35DE36-DBF5-960F-5CBC-238E3326F9E1}"/>
            </a:ext>
          </a:extLst>
        </xdr:cNvPr>
        <xdr:cNvSpPr txBox="1"/>
      </xdr:nvSpPr>
      <xdr:spPr>
        <a:xfrm>
          <a:off x="11896163" y="6221506"/>
          <a:ext cx="905435" cy="46616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0431778-9171-4F13-A8D8-F78E6F38AB57}" type="TxLink">
            <a:rPr lang="en-US" sz="2150" b="1" i="0" u="none" strike="noStrike">
              <a:solidFill>
                <a:schemeClr val="tx2"/>
              </a:solidFill>
              <a:latin typeface="Calibri"/>
              <a:ea typeface="Calibri"/>
              <a:cs typeface="Calibri"/>
            </a:rPr>
            <a:pPr/>
            <a:t>13%</a:t>
          </a:fld>
          <a:endParaRPr lang="en-IN" sz="2150" b="1">
            <a:solidFill>
              <a:schemeClr val="tx2"/>
            </a:solidFill>
          </a:endParaRPr>
        </a:p>
      </xdr:txBody>
    </xdr:sp>
    <xdr:clientData/>
  </xdr:twoCellAnchor>
  <xdr:twoCellAnchor>
    <xdr:from>
      <xdr:col>0</xdr:col>
      <xdr:colOff>0</xdr:colOff>
      <xdr:row>42</xdr:row>
      <xdr:rowOff>79664</xdr:rowOff>
    </xdr:from>
    <xdr:to>
      <xdr:col>25</xdr:col>
      <xdr:colOff>540326</xdr:colOff>
      <xdr:row>44</xdr:row>
      <xdr:rowOff>130629</xdr:rowOff>
    </xdr:to>
    <xdr:sp macro="" textlink="">
      <xdr:nvSpPr>
        <xdr:cNvPr id="30" name="Rectangle: Rounded Corners 29">
          <a:extLst>
            <a:ext uri="{FF2B5EF4-FFF2-40B4-BE49-F238E27FC236}">
              <a16:creationId xmlns:a16="http://schemas.microsoft.com/office/drawing/2014/main" id="{2B4ED615-9B51-341C-F5A0-CAE2A501E39B}"/>
            </a:ext>
          </a:extLst>
        </xdr:cNvPr>
        <xdr:cNvSpPr/>
      </xdr:nvSpPr>
      <xdr:spPr>
        <a:xfrm>
          <a:off x="0" y="8341921"/>
          <a:ext cx="15780326" cy="42107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Created by: Mayank Rawat | Data Analyst Portfolio | Microsoft Excel 2024 | PivotTables • PivotCharts • Slicers | SuperStore Sales Dataset (1,000 Records)</a:t>
          </a:r>
          <a:endParaRPr lang="en-IN" sz="1400" b="1">
            <a:ln>
              <a:noFill/>
            </a:ln>
            <a:solidFill>
              <a:schemeClr val="bg1"/>
            </a:solidFill>
            <a:latin typeface="+mn-l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24.964309953706" createdVersion="8" refreshedVersion="8" minRefreshableVersion="3" recordCount="1000" xr:uid="{52AFD2C5-6CCD-4EB7-AEE8-24F17884E5C9}">
  <cacheSource type="worksheet">
    <worksheetSource name="Table1"/>
  </cacheSource>
  <cacheFields count="20">
    <cacheField name="Order ID" numFmtId="0">
      <sharedItems containsSemiMixedTypes="0" containsString="0" containsNumber="1" containsInteger="1" minValue="1001" maxValue="2000"/>
    </cacheField>
    <cacheField name="Order Date" numFmtId="14">
      <sharedItems containsSemiMixedTypes="0" containsNonDate="0" containsDate="1" containsString="0" minDate="2024-01-01T00:00:00" maxDate="2025-12-31T00:00:00" count="556">
        <d v="2025-03-02T00:00:00"/>
        <d v="2025-10-20T00:00:00"/>
        <d v="2025-09-14T00:00:00"/>
        <d v="2024-09-14T00:00:00"/>
        <d v="2024-07-15T00:00:00"/>
        <d v="2025-05-22T00:00:00"/>
        <d v="2024-11-05T00:00:00"/>
        <d v="2025-05-14T00:00:00"/>
        <d v="2024-09-21T00:00:00"/>
        <d v="2024-01-02T00:00:00"/>
        <d v="2025-03-21T00:00:00"/>
        <d v="2024-08-25T00:00:00"/>
        <d v="2024-09-22T00:00:00"/>
        <d v="2025-11-28T00:00:00"/>
        <d v="2024-01-19T00:00:00"/>
        <d v="2024-08-11T00:00:00"/>
        <d v="2024-07-24T00:00:00"/>
        <d v="2024-08-13T00:00:00"/>
        <d v="2024-05-02T00:00:00"/>
        <d v="2025-06-06T00:00:00"/>
        <d v="2024-10-30T00:00:00"/>
        <d v="2024-07-26T00:00:00"/>
        <d v="2024-02-29T00:00:00"/>
        <d v="2025-10-06T00:00:00"/>
        <d v="2024-08-14T00:00:00"/>
        <d v="2025-05-23T00:00:00"/>
        <d v="2024-08-01T00:00:00"/>
        <d v="2024-10-01T00:00:00"/>
        <d v="2025-12-23T00:00:00"/>
        <d v="2025-06-05T00:00:00"/>
        <d v="2024-03-03T00:00:00"/>
        <d v="2024-07-28T00:00:00"/>
        <d v="2025-12-03T00:00:00"/>
        <d v="2025-12-22T00:00:00"/>
        <d v="2024-04-14T00:00:00"/>
        <d v="2025-08-29T00:00:00"/>
        <d v="2024-01-25T00:00:00"/>
        <d v="2024-01-21T00:00:00"/>
        <d v="2024-12-18T00:00:00"/>
        <d v="2024-07-13T00:00:00"/>
        <d v="2025-04-18T00:00:00"/>
        <d v="2025-05-07T00:00:00"/>
        <d v="2025-02-27T00:00:00"/>
        <d v="2025-11-07T00:00:00"/>
        <d v="2025-12-25T00:00:00"/>
        <d v="2025-02-03T00:00:00"/>
        <d v="2025-01-15T00:00:00"/>
        <d v="2025-11-08T00:00:00"/>
        <d v="2025-09-05T00:00:00"/>
        <d v="2025-01-08T00:00:00"/>
        <d v="2024-12-13T00:00:00"/>
        <d v="2025-09-20T00:00:00"/>
        <d v="2025-01-24T00:00:00"/>
        <d v="2024-03-14T00:00:00"/>
        <d v="2025-07-21T00:00:00"/>
        <d v="2024-06-04T00:00:00"/>
        <d v="2025-04-07T00:00:00"/>
        <d v="2024-10-06T00:00:00"/>
        <d v="2024-08-12T00:00:00"/>
        <d v="2025-08-06T00:00:00"/>
        <d v="2024-12-08T00:00:00"/>
        <d v="2024-05-19T00:00:00"/>
        <d v="2024-04-30T00:00:00"/>
        <d v="2025-02-04T00:00:00"/>
        <d v="2025-11-20T00:00:00"/>
        <d v="2024-12-14T00:00:00"/>
        <d v="2025-07-19T00:00:00"/>
        <d v="2025-04-01T00:00:00"/>
        <d v="2025-05-12T00:00:00"/>
        <d v="2024-04-27T00:00:00"/>
        <d v="2025-10-28T00:00:00"/>
        <d v="2024-08-24T00:00:00"/>
        <d v="2025-01-28T00:00:00"/>
        <d v="2024-02-26T00:00:00"/>
        <d v="2024-03-06T00:00:00"/>
        <d v="2025-03-14T00:00:00"/>
        <d v="2025-11-27T00:00:00"/>
        <d v="2025-05-15T00:00:00"/>
        <d v="2024-02-28T00:00:00"/>
        <d v="2024-11-09T00:00:00"/>
        <d v="2024-05-26T00:00:00"/>
        <d v="2024-11-22T00:00:00"/>
        <d v="2024-06-12T00:00:00"/>
        <d v="2025-04-27T00:00:00"/>
        <d v="2025-12-20T00:00:00"/>
        <d v="2025-09-26T00:00:00"/>
        <d v="2025-05-01T00:00:00"/>
        <d v="2025-11-19T00:00:00"/>
        <d v="2025-09-03T00:00:00"/>
        <d v="2024-02-23T00:00:00"/>
        <d v="2025-01-11T00:00:00"/>
        <d v="2024-04-15T00:00:00"/>
        <d v="2025-07-06T00:00:00"/>
        <d v="2025-05-24T00:00:00"/>
        <d v="2025-03-31T00:00:00"/>
        <d v="2024-11-21T00:00:00"/>
        <d v="2024-06-27T00:00:00"/>
        <d v="2024-09-30T00:00:00"/>
        <d v="2024-11-16T00:00:00"/>
        <d v="2025-11-15T00:00:00"/>
        <d v="2025-12-14T00:00:00"/>
        <d v="2025-07-25T00:00:00"/>
        <d v="2025-11-26T00:00:00"/>
        <d v="2024-06-19T00:00:00"/>
        <d v="2024-05-24T00:00:00"/>
        <d v="2024-06-23T00:00:00"/>
        <d v="2024-02-17T00:00:00"/>
        <d v="2024-11-18T00:00:00"/>
        <d v="2025-06-23T00:00:00"/>
        <d v="2025-08-14T00:00:00"/>
        <d v="2024-07-17T00:00:00"/>
        <d v="2025-04-09T00:00:00"/>
        <d v="2025-02-09T00:00:00"/>
        <d v="2024-10-26T00:00:00"/>
        <d v="2024-08-15T00:00:00"/>
        <d v="2024-05-18T00:00:00"/>
        <d v="2025-05-19T00:00:00"/>
        <d v="2025-05-26T00:00:00"/>
        <d v="2024-08-26T00:00:00"/>
        <d v="2025-07-10T00:00:00"/>
        <d v="2025-11-01T00:00:00"/>
        <d v="2025-04-10T00:00:00"/>
        <d v="2024-06-01T00:00:00"/>
        <d v="2025-12-27T00:00:00"/>
        <d v="2024-08-08T00:00:00"/>
        <d v="2024-08-03T00:00:00"/>
        <d v="2025-09-15T00:00:00"/>
        <d v="2024-12-23T00:00:00"/>
        <d v="2024-10-14T00:00:00"/>
        <d v="2024-03-16T00:00:00"/>
        <d v="2025-04-02T00:00:00"/>
        <d v="2025-10-18T00:00:00"/>
        <d v="2024-03-18T00:00:00"/>
        <d v="2025-01-03T00:00:00"/>
        <d v="2025-11-22T00:00:00"/>
        <d v="2024-12-15T00:00:00"/>
        <d v="2025-09-10T00:00:00"/>
        <d v="2025-05-20T00:00:00"/>
        <d v="2024-05-05T00:00:00"/>
        <d v="2025-11-17T00:00:00"/>
        <d v="2025-10-16T00:00:00"/>
        <d v="2024-08-23T00:00:00"/>
        <d v="2024-06-21T00:00:00"/>
        <d v="2024-10-22T00:00:00"/>
        <d v="2024-11-27T00:00:00"/>
        <d v="2024-02-20T00:00:00"/>
        <d v="2025-10-24T00:00:00"/>
        <d v="2025-11-23T00:00:00"/>
        <d v="2025-09-07T00:00:00"/>
        <d v="2024-06-17T00:00:00"/>
        <d v="2025-10-11T00:00:00"/>
        <d v="2024-05-16T00:00:00"/>
        <d v="2025-11-16T00:00:00"/>
        <d v="2025-09-04T00:00:00"/>
        <d v="2024-06-16T00:00:00"/>
        <d v="2025-08-28T00:00:00"/>
        <d v="2025-06-18T00:00:00"/>
        <d v="2025-07-22T00:00:00"/>
        <d v="2025-05-06T00:00:00"/>
        <d v="2024-11-26T00:00:00"/>
        <d v="2025-08-09T00:00:00"/>
        <d v="2024-06-22T00:00:00"/>
        <d v="2024-02-18T00:00:00"/>
        <d v="2025-01-22T00:00:00"/>
        <d v="2024-02-24T00:00:00"/>
        <d v="2024-09-25T00:00:00"/>
        <d v="2025-01-19T00:00:00"/>
        <d v="2025-05-05T00:00:00"/>
        <d v="2024-11-29T00:00:00"/>
        <d v="2024-12-06T00:00:00"/>
        <d v="2025-03-07T00:00:00"/>
        <d v="2024-12-28T00:00:00"/>
        <d v="2025-11-09T00:00:00"/>
        <d v="2024-09-08T00:00:00"/>
        <d v="2025-09-21T00:00:00"/>
        <d v="2025-02-12T00:00:00"/>
        <d v="2025-10-07T00:00:00"/>
        <d v="2024-01-10T00:00:00"/>
        <d v="2025-06-13T00:00:00"/>
        <d v="2025-07-09T00:00:00"/>
        <d v="2025-05-30T00:00:00"/>
        <d v="2024-06-09T00:00:00"/>
        <d v="2025-08-08T00:00:00"/>
        <d v="2024-05-21T00:00:00"/>
        <d v="2025-06-30T00:00:00"/>
        <d v="2025-08-10T00:00:00"/>
        <d v="2024-03-12T00:00:00"/>
        <d v="2025-03-10T00:00:00"/>
        <d v="2025-07-20T00:00:00"/>
        <d v="2024-03-31T00:00:00"/>
        <d v="2024-11-30T00:00:00"/>
        <d v="2024-06-11T00:00:00"/>
        <d v="2025-12-04T00:00:00"/>
        <d v="2024-05-15T00:00:00"/>
        <d v="2024-04-05T00:00:00"/>
        <d v="2025-11-30T00:00:00"/>
        <d v="2025-07-17T00:00:00"/>
        <d v="2024-10-23T00:00:00"/>
        <d v="2025-06-08T00:00:00"/>
        <d v="2024-02-25T00:00:00"/>
        <d v="2024-06-08T00:00:00"/>
        <d v="2025-01-30T00:00:00"/>
        <d v="2024-02-16T00:00:00"/>
        <d v="2024-05-23T00:00:00"/>
        <d v="2024-09-18T00:00:00"/>
        <d v="2025-04-06T00:00:00"/>
        <d v="2025-12-08T00:00:00"/>
        <d v="2025-08-12T00:00:00"/>
        <d v="2025-01-13T00:00:00"/>
        <d v="2025-02-25T00:00:00"/>
        <d v="2025-06-26T00:00:00"/>
        <d v="2024-09-05T00:00:00"/>
        <d v="2025-06-21T00:00:00"/>
        <d v="2025-03-03T00:00:00"/>
        <d v="2025-02-11T00:00:00"/>
        <d v="2024-09-03T00:00:00"/>
        <d v="2025-06-24T00:00:00"/>
        <d v="2025-10-02T00:00:00"/>
        <d v="2025-06-20T00:00:00"/>
        <d v="2025-04-13T00:00:00"/>
        <d v="2025-08-16T00:00:00"/>
        <d v="2024-04-09T00:00:00"/>
        <d v="2025-05-31T00:00:00"/>
        <d v="2024-01-30T00:00:00"/>
        <d v="2024-02-02T00:00:00"/>
        <d v="2024-09-04T00:00:00"/>
        <d v="2025-12-15T00:00:00"/>
        <d v="2025-08-31T00:00:00"/>
        <d v="2025-05-09T00:00:00"/>
        <d v="2024-09-23T00:00:00"/>
        <d v="2024-12-16T00:00:00"/>
        <d v="2024-01-16T00:00:00"/>
        <d v="2025-09-29T00:00:00"/>
        <d v="2025-06-01T00:00:00"/>
        <d v="2024-11-17T00:00:00"/>
        <d v="2025-02-17T00:00:00"/>
        <d v="2024-08-29T00:00:00"/>
        <d v="2024-04-20T00:00:00"/>
        <d v="2025-08-26T00:00:00"/>
        <d v="2024-03-04T00:00:00"/>
        <d v="2025-09-16T00:00:00"/>
        <d v="2024-11-07T00:00:00"/>
        <d v="2025-07-03T00:00:00"/>
        <d v="2024-05-25T00:00:00"/>
        <d v="2024-08-04T00:00:00"/>
        <d v="2025-03-19T00:00:00"/>
        <d v="2025-09-12T00:00:00"/>
        <d v="2025-06-22T00:00:00"/>
        <d v="2025-06-10T00:00:00"/>
        <d v="2025-06-14T00:00:00"/>
        <d v="2024-10-28T00:00:00"/>
        <d v="2025-04-24T00:00:00"/>
        <d v="2025-12-17T00:00:00"/>
        <d v="2025-10-14T00:00:00"/>
        <d v="2025-07-04T00:00:00"/>
        <d v="2024-09-11T00:00:00"/>
        <d v="2024-01-14T00:00:00"/>
        <d v="2024-09-10T00:00:00"/>
        <d v="2024-04-08T00:00:00"/>
        <d v="2025-12-05T00:00:00"/>
        <d v="2025-06-15T00:00:00"/>
        <d v="2025-08-21T00:00:00"/>
        <d v="2025-03-27T00:00:00"/>
        <d v="2025-05-02T00:00:00"/>
        <d v="2025-12-02T00:00:00"/>
        <d v="2024-02-12T00:00:00"/>
        <d v="2024-03-19T00:00:00"/>
        <d v="2024-10-15T00:00:00"/>
        <d v="2024-10-03T00:00:00"/>
        <d v="2025-05-27T00:00:00"/>
        <d v="2024-01-04T00:00:00"/>
        <d v="2025-06-28T00:00:00"/>
        <d v="2024-10-24T00:00:00"/>
        <d v="2024-09-27T00:00:00"/>
        <d v="2024-12-19T00:00:00"/>
        <d v="2025-11-14T00:00:00"/>
        <d v="2024-02-11T00:00:00"/>
        <d v="2025-06-04T00:00:00"/>
        <d v="2024-11-08T00:00:00"/>
        <d v="2024-01-24T00:00:00"/>
        <d v="2024-02-06T00:00:00"/>
        <d v="2024-02-04T00:00:00"/>
        <d v="2025-09-23T00:00:00"/>
        <d v="2025-01-04T00:00:00"/>
        <d v="2025-12-18T00:00:00"/>
        <d v="2024-03-02T00:00:00"/>
        <d v="2024-10-13T00:00:00"/>
        <d v="2024-01-28T00:00:00"/>
        <d v="2024-06-06T00:00:00"/>
        <d v="2025-02-15T00:00:00"/>
        <d v="2024-05-08T00:00:00"/>
        <d v="2025-03-22T00:00:00"/>
        <d v="2024-01-12T00:00:00"/>
        <d v="2024-09-19T00:00:00"/>
        <d v="2025-08-02T00:00:00"/>
        <d v="2024-02-07T00:00:00"/>
        <d v="2024-09-12T00:00:00"/>
        <d v="2025-07-29T00:00:00"/>
        <d v="2025-02-02T00:00:00"/>
        <d v="2024-03-15T00:00:00"/>
        <d v="2024-05-27T00:00:00"/>
        <d v="2025-09-02T00:00:00"/>
        <d v="2025-01-10T00:00:00"/>
        <d v="2025-12-19T00:00:00"/>
        <d v="2024-05-30T00:00:00"/>
        <d v="2025-12-09T00:00:00"/>
        <d v="2024-08-06T00:00:00"/>
        <d v="2025-07-13T00:00:00"/>
        <d v="2024-01-03T00:00:00"/>
        <d v="2024-11-28T00:00:00"/>
        <d v="2024-04-19T00:00:00"/>
        <d v="2025-03-12T00:00:00"/>
        <d v="2025-08-18T00:00:00"/>
        <d v="2024-08-17T00:00:00"/>
        <d v="2024-05-03T00:00:00"/>
        <d v="2024-09-15T00:00:00"/>
        <d v="2024-12-01T00:00:00"/>
        <d v="2025-09-11T00:00:00"/>
        <d v="2025-07-14T00:00:00"/>
        <d v="2025-12-30T00:00:00"/>
        <d v="2025-10-30T00:00:00"/>
        <d v="2024-06-26T00:00:00"/>
        <d v="2024-01-18T00:00:00"/>
        <d v="2024-07-01T00:00:00"/>
        <d v="2024-08-22T00:00:00"/>
        <d v="2025-02-28T00:00:00"/>
        <d v="2025-01-25T00:00:00"/>
        <d v="2025-10-08T00:00:00"/>
        <d v="2024-11-13T00:00:00"/>
        <d v="2024-08-16T00:00:00"/>
        <d v="2024-10-07T00:00:00"/>
        <d v="2025-07-08T00:00:00"/>
        <d v="2024-12-11T00:00:00"/>
        <d v="2025-04-26T00:00:00"/>
        <d v="2025-03-25T00:00:00"/>
        <d v="2025-08-25T00:00:00"/>
        <d v="2025-09-27T00:00:00"/>
        <d v="2025-04-20T00:00:00"/>
        <d v="2025-01-06T00:00:00"/>
        <d v="2025-02-24T00:00:00"/>
        <d v="2024-09-06T00:00:00"/>
        <d v="2024-10-31T00:00:00"/>
        <d v="2025-02-23T00:00:00"/>
        <d v="2025-11-03T00:00:00"/>
        <d v="2024-09-24T00:00:00"/>
        <d v="2024-03-25T00:00:00"/>
        <d v="2024-01-15T00:00:00"/>
        <d v="2025-04-12T00:00:00"/>
        <d v="2024-11-25T00:00:00"/>
        <d v="2024-01-20T00:00:00"/>
        <d v="2024-01-08T00:00:00"/>
        <d v="2025-03-09T00:00:00"/>
        <d v="2024-07-04T00:00:00"/>
        <d v="2025-01-05T00:00:00"/>
        <d v="2025-06-09T00:00:00"/>
        <d v="2025-01-02T00:00:00"/>
        <d v="2025-08-15T00:00:00"/>
        <d v="2024-05-07T00:00:00"/>
        <d v="2024-09-29T00:00:00"/>
        <d v="2025-01-01T00:00:00"/>
        <d v="2024-05-13T00:00:00"/>
        <d v="2024-02-15T00:00:00"/>
        <d v="2025-12-12T00:00:00"/>
        <d v="2025-05-04T00:00:00"/>
        <d v="2025-03-29T00:00:00"/>
        <d v="2024-01-31T00:00:00"/>
        <d v="2025-11-29T00:00:00"/>
        <d v="2025-09-09T00:00:00"/>
        <d v="2024-05-22T00:00:00"/>
        <d v="2025-05-03T00:00:00"/>
        <d v="2025-09-13T00:00:00"/>
        <d v="2025-03-13T00:00:00"/>
        <d v="2024-11-23T00:00:00"/>
        <d v="2025-02-19T00:00:00"/>
        <d v="2025-10-26T00:00:00"/>
        <d v="2024-06-10T00:00:00"/>
        <d v="2025-05-10T00:00:00"/>
        <d v="2025-08-27T00:00:00"/>
        <d v="2025-11-18T00:00:00"/>
        <d v="2024-07-14T00:00:00"/>
        <d v="2025-03-24T00:00:00"/>
        <d v="2024-11-01T00:00:00"/>
        <d v="2024-02-05T00:00:00"/>
        <d v="2024-10-27T00:00:00"/>
        <d v="2024-05-09T00:00:00"/>
        <d v="2025-08-19T00:00:00"/>
        <d v="2024-08-30T00:00:00"/>
        <d v="2024-03-24T00:00:00"/>
        <d v="2024-10-05T00:00:00"/>
        <d v="2024-01-06T00:00:00"/>
        <d v="2025-07-24T00:00:00"/>
        <d v="2025-02-13T00:00:00"/>
        <d v="2024-01-05T00:00:00"/>
        <d v="2024-09-26T00:00:00"/>
        <d v="2024-08-05T00:00:00"/>
        <d v="2025-10-09T00:00:00"/>
        <d v="2025-10-01T00:00:00"/>
        <d v="2025-07-15T00:00:00"/>
        <d v="2024-12-04T00:00:00"/>
        <d v="2025-04-05T00:00:00"/>
        <d v="2024-11-24T00:00:00"/>
        <d v="2024-08-02T00:00:00"/>
        <d v="2024-11-02T00:00:00"/>
        <d v="2025-04-21T00:00:00"/>
        <d v="2025-08-05T00:00:00"/>
        <d v="2025-10-27T00:00:00"/>
        <d v="2024-12-26T00:00:00"/>
        <d v="2024-03-10T00:00:00"/>
        <d v="2025-04-14T00:00:00"/>
        <d v="2024-03-23T00:00:00"/>
        <d v="2024-06-28T00:00:00"/>
        <d v="2024-02-08T00:00:00"/>
        <d v="2025-10-04T00:00:00"/>
        <d v="2024-07-19T00:00:00"/>
        <d v="2025-08-07T00:00:00"/>
        <d v="2025-10-03T00:00:00"/>
        <d v="2024-09-20T00:00:00"/>
        <d v="2025-12-01T00:00:00"/>
        <d v="2024-09-16T00:00:00"/>
        <d v="2025-05-08T00:00:00"/>
        <d v="2025-04-08T00:00:00"/>
        <d v="2024-10-11T00:00:00"/>
        <d v="2025-10-19T00:00:00"/>
        <d v="2025-11-25T00:00:00"/>
        <d v="2025-12-24T00:00:00"/>
        <d v="2025-01-26T00:00:00"/>
        <d v="2025-10-25T00:00:00"/>
        <d v="2024-01-01T00:00:00"/>
        <d v="2024-12-21T00:00:00"/>
        <d v="2024-12-02T00:00:00"/>
        <d v="2025-04-30T00:00:00"/>
        <d v="2025-01-14T00:00:00"/>
        <d v="2025-07-07T00:00:00"/>
        <d v="2025-04-04T00:00:00"/>
        <d v="2024-09-13T00:00:00"/>
        <d v="2025-06-02T00:00:00"/>
        <d v="2025-01-09T00:00:00"/>
        <d v="2024-01-09T00:00:00"/>
        <d v="2024-03-27T00:00:00"/>
        <d v="2024-12-31T00:00:00"/>
        <d v="2024-07-10T00:00:00"/>
        <d v="2025-03-08T00:00:00"/>
        <d v="2024-01-26T00:00:00"/>
        <d v="2025-03-16T00:00:00"/>
        <d v="2024-06-14T00:00:00"/>
        <d v="2025-08-23T00:00:00"/>
        <d v="2024-12-29T00:00:00"/>
        <d v="2025-03-23T00:00:00"/>
        <d v="2025-12-13T00:00:00"/>
        <d v="2024-10-25T00:00:00"/>
        <d v="2024-12-25T00:00:00"/>
        <d v="2025-10-21T00:00:00"/>
        <d v="2025-11-05T00:00:00"/>
        <d v="2024-04-07T00:00:00"/>
        <d v="2024-12-12T00:00:00"/>
        <d v="2024-02-03T00:00:00"/>
        <d v="2024-12-20T00:00:00"/>
        <d v="2024-01-22T00:00:00"/>
        <d v="2025-01-07T00:00:00"/>
        <d v="2025-09-24T00:00:00"/>
        <d v="2025-05-18T00:00:00"/>
        <d v="2024-06-30T00:00:00"/>
        <d v="2024-08-21T00:00:00"/>
        <d v="2025-04-29T00:00:00"/>
        <d v="2024-10-21T00:00:00"/>
        <d v="2025-04-22T00:00:00"/>
        <d v="2025-06-29T00:00:00"/>
        <d v="2025-02-16T00:00:00"/>
        <d v="2024-12-27T00:00:00"/>
        <d v="2025-02-18T00:00:00"/>
        <d v="2024-07-06T00:00:00"/>
        <d v="2024-12-07T00:00:00"/>
        <d v="2024-03-09T00:00:00"/>
        <d v="2025-04-17T00:00:00"/>
        <d v="2024-05-14T00:00:00"/>
        <d v="2024-07-02T00:00:00"/>
        <d v="2024-01-11T00:00:00"/>
        <d v="2025-05-13T00:00:00"/>
        <d v="2025-09-28T00:00:00"/>
        <d v="2024-02-22T00:00:00"/>
        <d v="2024-11-06T00:00:00"/>
        <d v="2024-11-14T00:00:00"/>
        <d v="2024-10-09T00:00:00"/>
        <d v="2025-05-17T00:00:00"/>
        <d v="2024-02-10T00:00:00"/>
        <d v="2024-09-09T00:00:00"/>
        <d v="2024-04-04T00:00:00"/>
        <d v="2024-10-10T00:00:00"/>
        <d v="2024-10-08T00:00:00"/>
        <d v="2025-03-11T00:00:00"/>
        <d v="2024-07-20T00:00:00"/>
        <d v="2025-10-23T00:00:00"/>
        <d v="2025-05-28T00:00:00"/>
        <d v="2024-03-28T00:00:00"/>
        <d v="2024-03-08T00:00:00"/>
        <d v="2025-08-03T00:00:00"/>
        <d v="2024-11-15T00:00:00"/>
        <d v="2025-03-30T00:00:00"/>
        <d v="2024-10-17T00:00:00"/>
        <d v="2024-11-11T00:00:00"/>
        <d v="2024-12-10T00:00:00"/>
        <d v="2025-01-16T00:00:00"/>
        <d v="2024-04-06T00:00:00"/>
        <d v="2025-12-21T00:00:00"/>
        <d v="2024-04-10T00:00:00"/>
        <d v="2025-08-17T00:00:00"/>
        <d v="2025-02-22T00:00:00"/>
        <d v="2025-07-12T00:00:00"/>
        <d v="2025-04-03T00:00:00"/>
        <d v="2024-02-21T00:00:00"/>
        <d v="2024-02-19T00:00:00"/>
        <d v="2024-03-29T00:00:00"/>
        <d v="2024-08-27T00:00:00"/>
        <d v="2025-12-26T00:00:00"/>
        <d v="2024-07-27T00:00:00"/>
        <d v="2024-09-17T00:00:00"/>
        <d v="2025-07-26T00:00:00"/>
        <d v="2025-07-23T00:00:00"/>
        <d v="2025-09-19T00:00:00"/>
        <d v="2025-03-28T00:00:00"/>
        <d v="2024-05-20T00:00:00"/>
        <d v="2024-02-27T00:00:00"/>
        <d v="2025-12-16T00:00:00"/>
        <d v="2025-12-29T00:00:00"/>
        <d v="2024-06-24T00:00:00"/>
        <d v="2024-04-23T00:00:00"/>
        <d v="2025-11-21T00:00:00"/>
        <d v="2024-06-07T00:00:00"/>
        <d v="2024-04-01T00:00:00"/>
        <d v="2025-07-30T00:00:00"/>
        <d v="2025-04-15T00:00:00"/>
        <d v="2025-03-20T00:00:00"/>
        <d v="2025-12-06T00:00:00"/>
        <d v="2025-09-08T00:00:00"/>
        <d v="2024-10-02T00:00:00"/>
        <d v="2025-09-30T00:00:00"/>
        <d v="2024-07-30T00:00:00"/>
        <d v="2024-02-01T00:00:00"/>
        <d v="2025-10-15T00:00:00"/>
        <d v="2024-04-24T00:00:00"/>
        <d v="2024-02-14T00:00:00"/>
        <d v="2025-11-02T00:00:00"/>
        <d v="2025-01-12T00:00:00"/>
        <d v="2025-10-13T00:00:00"/>
        <d v="2025-02-05T00:00:00"/>
        <d v="2024-05-10T00:00:00"/>
        <d v="2024-05-04T00:00:00"/>
        <d v="2024-07-22T00:00:00"/>
        <d v="2025-12-28T00:00:00"/>
        <d v="2024-12-30T00:00:00"/>
        <d v="2025-06-17T00:00:00"/>
        <d v="2024-03-30T00:00:00"/>
        <d v="2024-04-03T00:00:00"/>
        <d v="2025-07-18T00:00:00"/>
        <d v="2025-10-17T00:00:00"/>
        <d v="2024-07-21T00:00:00"/>
      </sharedItems>
      <fieldGroup par="19"/>
    </cacheField>
    <cacheField name="Ship Date" numFmtId="14">
      <sharedItems containsSemiMixedTypes="0" containsNonDate="0" containsDate="1" containsString="0" minDate="2024-01-02T00:00:00" maxDate="2026-01-06T00:00:00"/>
    </cacheField>
    <cacheField name="Customer ID" numFmtId="0">
      <sharedItems/>
    </cacheField>
    <cacheField name="Customer Name" numFmtId="0">
      <sharedItems/>
    </cacheField>
    <cacheField name="Segment" numFmtId="0">
      <sharedItems count="3">
        <s v="Consumer"/>
        <s v="Home Office"/>
        <s v="Corporate"/>
      </sharedItems>
    </cacheField>
    <cacheField name="City" numFmtId="0">
      <sharedItems/>
    </cacheField>
    <cacheField name="State" numFmtId="0">
      <sharedItems/>
    </cacheField>
    <cacheField name="Region" numFmtId="0">
      <sharedItems count="4">
        <s v="West"/>
        <s v="North"/>
        <s v="South"/>
        <s v="East"/>
      </sharedItems>
    </cacheField>
    <cacheField name="Category" numFmtId="0">
      <sharedItems count="3">
        <s v="Technology"/>
        <s v="Furniture"/>
        <s v="Office Supplies"/>
      </sharedItems>
    </cacheField>
    <cacheField name="Sub-Category" numFmtId="0">
      <sharedItems/>
    </cacheField>
    <cacheField name="Product Name" numFmtId="0">
      <sharedItems count="957">
        <s v="Phone Model 818"/>
        <s v="Bookcase Model 609"/>
        <s v="Sofa Model 952"/>
        <s v="Keyboard Model 483"/>
        <s v="Chair Model 878"/>
        <s v="Binder Model 684"/>
        <s v="Monitor Model 516"/>
        <s v="Bookcase Model 270"/>
        <s v="Paper Model 468"/>
        <s v="Phone Model 729"/>
        <s v="Chair Model 746"/>
        <s v="Phone Model 204"/>
        <s v="Monitor Model 251"/>
        <s v="Notebook Model 810"/>
        <s v="Phone Model 528"/>
        <s v="Bookcase Model 785"/>
        <s v="Paper Model 529"/>
        <s v="Notebook Model 915"/>
        <s v="Chair Model 947"/>
        <s v="Table Model 550"/>
        <s v="Table Model 239"/>
        <s v="Monitor Model 411"/>
        <s v="Sofa Model 104"/>
        <s v="Chair Model 166"/>
        <s v="Keyboard Model 667"/>
        <s v="Chair Model 857"/>
        <s v="Sofa Model 894"/>
        <s v="Chair Model 593"/>
        <s v="Table Model 180"/>
        <s v="Storage Model 590"/>
        <s v="Paper Model 105"/>
        <s v="Binder Model 609"/>
        <s v="Storage Model 418"/>
        <s v="Monitor Model 722"/>
        <s v="Phone Model 804"/>
        <s v="Bookcase Model 179"/>
        <s v="Phone Model 675"/>
        <s v="Sofa Model 514"/>
        <s v="Monitor Model 860"/>
        <s v="Bookcase Model 524"/>
        <s v="Pen Model 692"/>
        <s v="Table Model 220"/>
        <s v="Monitor Model 817"/>
        <s v="Sofa Model 678"/>
        <s v="Notebook Model 517"/>
        <s v="Storage Model 556"/>
        <s v="Phone Model 702"/>
        <s v="Bookcase Model 796"/>
        <s v="Table Model 780"/>
        <s v="Laptop Model 260"/>
        <s v="Sofa Model 608"/>
        <s v="Bookcase Model 678"/>
        <s v="Storage Model 200"/>
        <s v="Mouse Model 219"/>
        <s v="Binder Model 270"/>
        <s v="Paper Model 770"/>
        <s v="Paper Model 440"/>
        <s v="Binder Model 878"/>
        <s v="Phone Model 642"/>
        <s v="Laptop Model 904"/>
        <s v="Pen Model 474"/>
        <s v="Paper Model 121"/>
        <s v="Binder Model 363"/>
        <s v="Storage Model 972"/>
        <s v="Paper Model 146"/>
        <s v="Storage Model 439"/>
        <s v="Phone Model 305"/>
        <s v="Chair Model 954"/>
        <s v="Storage Model 219"/>
        <s v="Table Model 156"/>
        <s v="Monitor Model 236"/>
        <s v="Monitor Model 324"/>
        <s v="Laptop Model 954"/>
        <s v="Notebook Model 410"/>
        <s v="Chair Model 751"/>
        <s v="Storage Model 431"/>
        <s v="Pen Model 578"/>
        <s v="Keyboard Model 923"/>
        <s v="Storage Model 217"/>
        <s v="Notebook Model 709"/>
        <s v="Paper Model 603"/>
        <s v="Sofa Model 262"/>
        <s v="Paper Model 578"/>
        <s v="Storage Model 808"/>
        <s v="Laptop Model 400"/>
        <s v="Storage Model 754"/>
        <s v="Notebook Model 964"/>
        <s v="Chair Model 263"/>
        <s v="Bookcase Model 707"/>
        <s v="Sofa Model 503"/>
        <s v="Storage Model 811"/>
        <s v="Chair Model 830"/>
        <s v="Storage Model 870"/>
        <s v="Storage Model 733"/>
        <s v="Pen Model 258"/>
        <s v="Monitor Model 997"/>
        <s v="Sofa Model 845"/>
        <s v="Table Model 534"/>
        <s v="Notebook Model 325"/>
        <s v="Pen Model 423"/>
        <s v="Storage Model 762"/>
        <s v="Chair Model 347"/>
        <s v="Laptop Model 438"/>
        <s v="Phone Model 479"/>
        <s v="Storage Model 394"/>
        <s v="Bookcase Model 507"/>
        <s v="Storage Model 565"/>
        <s v="Notebook Model 307"/>
        <s v="Sofa Model 905"/>
        <s v="Paper Model 188"/>
        <s v="Bookcase Model 152"/>
        <s v="Phone Model 192"/>
        <s v="Phone Model 219"/>
        <s v="Storage Model 805"/>
        <s v="Sofa Model 671"/>
        <s v="Notebook Model 470"/>
        <s v="Keyboard Model 322"/>
        <s v="Mouse Model 757"/>
        <s v="Storage Model 625"/>
        <s v="Bookcase Model 779"/>
        <s v="Table Model 472"/>
        <s v="Bookcase Model 913"/>
        <s v="Phone Model 406"/>
        <s v="Sofa Model 230"/>
        <s v="Table Model 737"/>
        <s v="Binder Model 732"/>
        <s v="Phone Model 713"/>
        <s v="Paper Model 617"/>
        <s v="Notebook Model 313"/>
        <s v="Storage Model 533"/>
        <s v="Table Model 333"/>
        <s v="Mouse Model 541"/>
        <s v="Paper Model 640"/>
        <s v="Binder Model 739"/>
        <s v="Storage Model 227"/>
        <s v="Notebook Model 173"/>
        <s v="Sofa Model 466"/>
        <s v="Paper Model 823"/>
        <s v="Keyboard Model 716"/>
        <s v="Bookcase Model 853"/>
        <s v="Sofa Model 691"/>
        <s v="Laptop Model 263"/>
        <s v="Storage Model 993"/>
        <s v="Sofa Model 154"/>
        <s v="Table Model 147"/>
        <s v="Storage Model 406"/>
        <s v="Laptop Model 122"/>
        <s v="Mouse Model 984"/>
        <s v="Phone Model 315"/>
        <s v="Laptop Model 199"/>
        <s v="Bookcase Model 445"/>
        <s v="Sofa Model 396"/>
        <s v="Chair Model 798"/>
        <s v="Monitor Model 280"/>
        <s v="Keyboard Model 235"/>
        <s v="Bookcase Model 736"/>
        <s v="Paper Model 533"/>
        <s v="Paper Model 376"/>
        <s v="Storage Model 161"/>
        <s v="Paper Model 959"/>
        <s v="Phone Model 946"/>
        <s v="Pen Model 174"/>
        <s v="Phone Model 118"/>
        <s v="Paper Model 175"/>
        <s v="Keyboard Model 911"/>
        <s v="Bookcase Model 930"/>
        <s v="Chair Model 792"/>
        <s v="Mouse Model 546"/>
        <s v="Chair Model 354"/>
        <s v="Table Model 724"/>
        <s v="Binder Model 322"/>
        <s v="Table Model 806"/>
        <s v="Pen Model 117"/>
        <s v="Table Model 184"/>
        <s v="Sofa Model 753"/>
        <s v="Chair Model 665"/>
        <s v="Storage Model 123"/>
        <s v="Table Model 783"/>
        <s v="Table Model 209"/>
        <s v="Monitor Model 789"/>
        <s v="Keyboard Model 620"/>
        <s v="Pen Model 558"/>
        <s v="Notebook Model 588"/>
        <s v="Binder Model 812"/>
        <s v="Binder Model 560"/>
        <s v="Notebook Model 740"/>
        <s v="Phone Model 410"/>
        <s v="Monitor Model 753"/>
        <s v="Binder Model 787"/>
        <s v="Keyboard Model 627"/>
        <s v="Mouse Model 649"/>
        <s v="Chair Model 700"/>
        <s v="Chair Model 374"/>
        <s v="Chair Model 969"/>
        <s v="Bookcase Model 845"/>
        <s v="Sofa Model 595"/>
        <s v="Monitor Model 206"/>
        <s v="Table Model 839"/>
        <s v="Bookcase Model 830"/>
        <s v="Pen Model 956"/>
        <s v="Monitor Model 175"/>
        <s v="Bookcase Model 955"/>
        <s v="Monitor Model 121"/>
        <s v="Bookcase Model 335"/>
        <s v="Chair Model 127"/>
        <s v="Sofa Model 980"/>
        <s v="Mouse Model 259"/>
        <s v="Storage Model 929"/>
        <s v="Monitor Model 800"/>
        <s v="Binder Model 190"/>
        <s v="Table Model 316"/>
        <s v="Pen Model 520"/>
        <s v="Monitor Model 898"/>
        <s v="Mouse Model 255"/>
        <s v="Keyboard Model 129"/>
        <s v="Paper Model 692"/>
        <s v="Keyboard Model 245"/>
        <s v="Mouse Model 979"/>
        <s v="Table Model 105"/>
        <s v="Keyboard Model 426"/>
        <s v="Pen Model 641"/>
        <s v="Monitor Model 538"/>
        <s v="Chair Model 237"/>
        <s v="Table Model 211"/>
        <s v="Sofa Model 642"/>
        <s v="Phone Model 616"/>
        <s v="Paper Model 577"/>
        <s v="Notebook Model 987"/>
        <s v="Pen Model 191"/>
        <s v="Keyboard Model 845"/>
        <s v="Chair Model 140"/>
        <s v="Storage Model 393"/>
        <s v="Storage Model 427"/>
        <s v="Notebook Model 574"/>
        <s v="Pen Model 358"/>
        <s v="Pen Model 541"/>
        <s v="Laptop Model 973"/>
        <s v="Keyboard Model 857"/>
        <s v="Pen Model 550"/>
        <s v="Notebook Model 744"/>
        <s v="Laptop Model 382"/>
        <s v="Pen Model 644"/>
        <s v="Phone Model 724"/>
        <s v="Storage Model 622"/>
        <s v="Table Model 646"/>
        <s v="Monitor Model 953"/>
        <s v="Table Model 301"/>
        <s v="Sofa Model 563"/>
        <s v="Storage Model 222"/>
        <s v="Phone Model 658"/>
        <s v="Sofa Model 204"/>
        <s v="Sofa Model 867"/>
        <s v="Sofa Model 587"/>
        <s v="Paper Model 793"/>
        <s v="Phone Model 560"/>
        <s v="Chair Model 556"/>
        <s v="Table Model 415"/>
        <s v="Chair Model 369"/>
        <s v="Bookcase Model 586"/>
        <s v="Pen Model 697"/>
        <s v="Table Model 800"/>
        <s v="Monitor Model 111"/>
        <s v="Mouse Model 765"/>
        <s v="Binder Model 855"/>
        <s v="Storage Model 503"/>
        <s v="Keyboard Model 997"/>
        <s v="Chair Model 749"/>
        <s v="Binder Model 138"/>
        <s v="Mouse Model 675"/>
        <s v="Sofa Model 868"/>
        <s v="Monitor Model 723"/>
        <s v="Keyboard Model 508"/>
        <s v="Monitor Model 253"/>
        <s v="Laptop Model 376"/>
        <s v="Sofa Model 232"/>
        <s v="Paper Model 924"/>
        <s v="Paper Model 165"/>
        <s v="Keyboard Model 900"/>
        <s v="Table Model 201"/>
        <s v="Chair Model 944"/>
        <s v="Phone Model 473"/>
        <s v="Laptop Model 452"/>
        <s v="Pen Model 151"/>
        <s v="Monitor Model 160"/>
        <s v="Phone Model 458"/>
        <s v="Pen Model 907"/>
        <s v="Laptop Model 831"/>
        <s v="Chair Model 112"/>
        <s v="Mouse Model 256"/>
        <s v="Sofa Model 907"/>
        <s v="Pen Model 333"/>
        <s v="Sofa Model 565"/>
        <s v="Storage Model 577"/>
        <s v="Mouse Model 620"/>
        <s v="Bookcase Model 752"/>
        <s v="Chair Model 557"/>
        <s v="Storage Model 356"/>
        <s v="Storage Model 834"/>
        <s v="Keyboard Model 150"/>
        <s v="Keyboard Model 367"/>
        <s v="Chair Model 880"/>
        <s v="Mouse Model 627"/>
        <s v="Chair Model 126"/>
        <s v="Binder Model 361"/>
        <s v="Table Model 414"/>
        <s v="Table Model 525"/>
        <s v="Keyboard Model 687"/>
        <s v="Mouse Model 628"/>
        <s v="Storage Model 287"/>
        <s v="Laptop Model 169"/>
        <s v="Table Model 627"/>
        <s v="Mouse Model 478"/>
        <s v="Paper Model 221"/>
        <s v="Laptop Model 332"/>
        <s v="Monitor Model 921"/>
        <s v="Laptop Model 291"/>
        <s v="Monitor Model 721"/>
        <s v="Pen Model 494"/>
        <s v="Paper Model 563"/>
        <s v="Table Model 711"/>
        <s v="Monitor Model 989"/>
        <s v="Mouse Model 511"/>
        <s v="Binder Model 576"/>
        <s v="Table Model 948"/>
        <s v="Sofa Model 592"/>
        <s v="Notebook Model 945"/>
        <s v="Table Model 252"/>
        <s v="Chair Model 601"/>
        <s v="Mouse Model 314"/>
        <s v="Table Model 269"/>
        <s v="Binder Model 860"/>
        <s v="Pen Model 229"/>
        <s v="Binder Model 351"/>
        <s v="Pen Model 883"/>
        <s v="Laptop Model 630"/>
        <s v="Table Model 835"/>
        <s v="Pen Model 690"/>
        <s v="Chair Model 622"/>
        <s v="Table Model 663"/>
        <s v="Sofa Model 164"/>
        <s v="Notebook Model 500"/>
        <s v="Chair Model 368"/>
        <s v="Table Model 616"/>
        <s v="Laptop Model 700"/>
        <s v="Pen Model 142"/>
        <s v="Sofa Model 521"/>
        <s v="Bookcase Model 148"/>
        <s v="Phone Model 509"/>
        <s v="Chair Model 525"/>
        <s v="Table Model 386"/>
        <s v="Chair Model 227"/>
        <s v="Bookcase Model 309"/>
        <s v="Table Model 344"/>
        <s v="Notebook Model 747"/>
        <s v="Bookcase Model 778"/>
        <s v="Monitor Model 229"/>
        <s v="Pen Model 162"/>
        <s v="Storage Model 769"/>
        <s v="Monitor Model 511"/>
        <s v="Paper Model 139"/>
        <s v="Pen Model 896"/>
        <s v="Chair Model 215"/>
        <s v="Paper Model 816"/>
        <s v="Phone Model 457"/>
        <s v="Storage Model 510"/>
        <s v="Monitor Model 975"/>
        <s v="Table Model 623"/>
        <s v="Sofa Model 225"/>
        <s v="Paper Model 544"/>
        <s v="Pen Model 158"/>
        <s v="Storage Model 630"/>
        <s v="Sofa Model 650"/>
        <s v="Mouse Model 814"/>
        <s v="Notebook Model 279"/>
        <s v="Sofa Model 276"/>
        <s v="Mouse Model 385"/>
        <s v="Table Model 662"/>
        <s v="Chair Model 572"/>
        <s v="Paper Model 684"/>
        <s v="Sofa Model 629"/>
        <s v="Table Model 219"/>
        <s v="Binder Model 275"/>
        <s v="Keyboard Model 336"/>
        <s v="Storage Model 723"/>
        <s v="Pen Model 851"/>
        <s v="Mouse Model 232"/>
        <s v="Bookcase Model 188"/>
        <s v="Chair Model 658"/>
        <s v="Phone Model 704"/>
        <s v="Mouse Model 787"/>
        <s v="Monitor Model 737"/>
        <s v="Table Model 138"/>
        <s v="Notebook Model 533"/>
        <s v="Laptop Model 634"/>
        <s v="Storage Model 490"/>
        <s v="Notebook Model 830"/>
        <s v="Monitor Model 375"/>
        <s v="Storage Model 940"/>
        <s v="Mouse Model 579"/>
        <s v="Pen Model 315"/>
        <s v="Mouse Model 652"/>
        <s v="Phone Model 467"/>
        <s v="Binder Model 122"/>
        <s v="Monitor Model 757"/>
        <s v="Chair Model 546"/>
        <s v="Chair Model 281"/>
        <s v="Table Model 768"/>
        <s v="Chair Model 251"/>
        <s v="Phone Model 978"/>
        <s v="Sofa Model 465"/>
        <s v="Monitor Model 570"/>
        <s v="Mouse Model 634"/>
        <s v="Laptop Model 898"/>
        <s v="Sofa Model 735"/>
        <s v="Phone Model 478"/>
        <s v="Table Model 895"/>
        <s v="Laptop Model 407"/>
        <s v="Binder Model 467"/>
        <s v="Paper Model 459"/>
        <s v="Paper Model 391"/>
        <s v="Storage Model 866"/>
        <s v="Table Model 902"/>
        <s v="Binder Model 214"/>
        <s v="Paper Model 260"/>
        <s v="Monitor Model 453"/>
        <s v="Monitor Model 174"/>
        <s v="Laptop Model 832"/>
        <s v="Notebook Model 271"/>
        <s v="Notebook Model 457"/>
        <s v="Mouse Model 862"/>
        <s v="Table Model 961"/>
        <s v="Phone Model 922"/>
        <s v="Sofa Model 365"/>
        <s v="Phone Model 784"/>
        <s v="Notebook Model 627"/>
        <s v="Phone Model 589"/>
        <s v="Keyboard Model 714"/>
        <s v="Keyboard Model 798"/>
        <s v="Table Model 805"/>
        <s v="Phone Model 210"/>
        <s v="Storage Model 770"/>
        <s v="Notebook Model 701"/>
        <s v="Binder Model 380"/>
        <s v="Table Model 121"/>
        <s v="Binder Model 869"/>
        <s v="Table Model 750"/>
        <s v="Phone Model 574"/>
        <s v="Binder Model 997"/>
        <s v="Bookcase Model 298"/>
        <s v="Mouse Model 894"/>
        <s v="Sofa Model 835"/>
        <s v="Monitor Model 782"/>
        <s v="Table Model 191"/>
        <s v="Mouse Model 863"/>
        <s v="Table Model 921"/>
        <s v="Monitor Model 883"/>
        <s v="Storage Model 792"/>
        <s v="Storage Model 415"/>
        <s v="Laptop Model 990"/>
        <s v="Monitor Model 387"/>
        <s v="Pen Model 203"/>
        <s v="Sofa Model 825"/>
        <s v="Table Model 512"/>
        <s v="Mouse Model 234"/>
        <s v="Sofa Model 830"/>
        <s v="Laptop Model 282"/>
        <s v="Chair Model 931"/>
        <s v="Sofa Model 805"/>
        <s v="Binder Model 226"/>
        <s v="Bookcase Model 573"/>
        <s v="Sofa Model 972"/>
        <s v="Table Model 546"/>
        <s v="Mouse Model 458"/>
        <s v="Keyboard Model 659"/>
        <s v="Keyboard Model 180"/>
        <s v="Phone Model 926"/>
        <s v="Sofa Model 953"/>
        <s v="Notebook Model 264"/>
        <s v="Bookcase Model 672"/>
        <s v="Chair Model 754"/>
        <s v="Bookcase Model 774"/>
        <s v="Pen Model 556"/>
        <s v="Paper Model 429"/>
        <s v="Chair Model 709"/>
        <s v="Storage Model 758"/>
        <s v="Sofa Model 699"/>
        <s v="Keyboard Model 628"/>
        <s v="Binder Model 623"/>
        <s v="Mouse Model 780"/>
        <s v="Notebook Model 901"/>
        <s v="Storage Model 275"/>
        <s v="Notebook Model 854"/>
        <s v="Sofa Model 940"/>
        <s v="Binder Model 116"/>
        <s v="Mouse Model 466"/>
        <s v="Chair Model 620"/>
        <s v="Laptop Model 458"/>
        <s v="Monitor Model 603"/>
        <s v="Chair Model 910"/>
        <s v="Chair Model 875"/>
        <s v="Storage Model 737"/>
        <s v="Storage Model 266"/>
        <s v="Storage Model 856"/>
        <s v="Monitor Model 475"/>
        <s v="Mouse Model 674"/>
        <s v="Storage Model 694"/>
        <s v="Pen Model 324"/>
        <s v="Paper Model 784"/>
        <s v="Monitor Model 944"/>
        <s v="Mouse Model 245"/>
        <s v="Keyboard Model 920"/>
        <s v="Chair Model 805"/>
        <s v="Sofa Model 331"/>
        <s v="Chair Model 800"/>
        <s v="Sofa Model 484"/>
        <s v="Phone Model 444"/>
        <s v="Phone Model 477"/>
        <s v="Keyboard Model 377"/>
        <s v="Paper Model 739"/>
        <s v="Bookcase Model 801"/>
        <s v="Binder Model 643"/>
        <s v="Sofa Model 842"/>
        <s v="Bookcase Model 604"/>
        <s v="Keyboard Model 783"/>
        <s v="Laptop Model 328"/>
        <s v="Sofa Model 513"/>
        <s v="Binder Model 929"/>
        <s v="Monitor Model 181"/>
        <s v="Chair Model 304"/>
        <s v="Phone Model 822"/>
        <s v="Binder Model 249"/>
        <s v="Pen Model 146"/>
        <s v="Chair Model 153"/>
        <s v="Table Model 992"/>
        <s v="Sofa Model 667"/>
        <s v="Sofa Model 654"/>
        <s v="Laptop Model 539"/>
        <s v="Sofa Model 556"/>
        <s v="Paper Model 897"/>
        <s v="Laptop Model 823"/>
        <s v="Mouse Model 545"/>
        <s v="Binder Model 480"/>
        <s v="Binder Model 590"/>
        <s v="Bookcase Model 932"/>
        <s v="Binder Model 510"/>
        <s v="Phone Model 225"/>
        <s v="Table Model 431"/>
        <s v="Laptop Model 548"/>
        <s v="Chair Model 194"/>
        <s v="Notebook Model 715"/>
        <s v="Storage Model 730"/>
        <s v="Notebook Model 917"/>
        <s v="Mouse Model 678"/>
        <s v="Laptop Model 962"/>
        <s v="Storage Model 311"/>
        <s v="Storage Model 233"/>
        <s v="Sofa Model 586"/>
        <s v="Monitor Model 961"/>
        <s v="Table Model 508"/>
        <s v="Notebook Model 716"/>
        <s v="Notebook Model 827"/>
        <s v="Table Model 366"/>
        <s v="Paper Model 325"/>
        <s v="Phone Model 510"/>
        <s v="Paper Model 836"/>
        <s v="Monitor Model 271"/>
        <s v="Mouse Model 878"/>
        <s v="Notebook Model 998"/>
        <s v="Notebook Model 127"/>
        <s v="Phone Model 866"/>
        <s v="Keyboard Model 842"/>
        <s v="Notebook Model 760"/>
        <s v="Monitor Model 869"/>
        <s v="Laptop Model 140"/>
        <s v="Laptop Model 721"/>
        <s v="Bookcase Model 927"/>
        <s v="Monitor Model 680"/>
        <s v="Notebook Model 194"/>
        <s v="Pen Model 959"/>
        <s v="Phone Model 106"/>
        <s v="Paper Model 611"/>
        <s v="Storage Model 555"/>
        <s v="Pen Model 224"/>
        <s v="Notebook Model 185"/>
        <s v="Table Model 312"/>
        <s v="Paper Model 434"/>
        <s v="Paper Model 915"/>
        <s v="Mouse Model 116"/>
        <s v="Phone Model 730"/>
        <s v="Monitor Model 950"/>
        <s v="Laptop Model 164"/>
        <s v="Bookcase Model 189"/>
        <s v="Table Model 268"/>
        <s v="Notebook Model 989"/>
        <s v="Pen Model 250"/>
        <s v="Laptop Model 274"/>
        <s v="Bookcase Model 880"/>
        <s v="Mouse Model 946"/>
        <s v="Table Model 987"/>
        <s v="Laptop Model 603"/>
        <s v="Chair Model 524"/>
        <s v="Chair Model 361"/>
        <s v="Storage Model 850"/>
        <s v="Keyboard Model 143"/>
        <s v="Table Model 985"/>
        <s v="Mouse Model 578"/>
        <s v="Pen Model 950"/>
        <s v="Table Model 852"/>
        <s v="Chair Model 723"/>
        <s v="Mouse Model 325"/>
        <s v="Binder Model 974"/>
        <s v="Chair Model 581"/>
        <s v="Pen Model 208"/>
        <s v="Chair Model 872"/>
        <s v="Binder Model 639"/>
        <s v="Table Model 941"/>
        <s v="Phone Model 371"/>
        <s v="Table Model 420"/>
        <s v="Laptop Model 868"/>
        <s v="Chair Model 507"/>
        <s v="Phone Model 116"/>
        <s v="Monitor Model 292"/>
        <s v="Binder Model 545"/>
        <s v="Monitor Model 106"/>
        <s v="Mouse Model 402"/>
        <s v="Laptop Model 127"/>
        <s v="Keyboard Model 115"/>
        <s v="Keyboard Model 160"/>
        <s v="Phone Model 839"/>
        <s v="Storage Model 166"/>
        <s v="Storage Model 223"/>
        <s v="Table Model 884"/>
        <s v="Sofa Model 479"/>
        <s v="Chair Model 967"/>
        <s v="Keyboard Model 576"/>
        <s v="Bookcase Model 658"/>
        <s v="Mouse Model 718"/>
        <s v="Mouse Model 558"/>
        <s v="Chair Model 497"/>
        <s v="Chair Model 195"/>
        <s v="Table Model 969"/>
        <s v="Chair Model 434"/>
        <s v="Notebook Model 377"/>
        <s v="Monitor Model 348"/>
        <s v="Laptop Model 758"/>
        <s v="Keyboard Model 136"/>
        <s v="Paper Model 696"/>
        <s v="Laptop Model 908"/>
        <s v="Bookcase Model 302"/>
        <s v="Keyboard Model 369"/>
        <s v="Monitor Model 191"/>
        <s v="Pen Model 805"/>
        <s v="Notebook Model 804"/>
        <s v="Paper Model 812"/>
        <s v="Binder Model 223"/>
        <s v="Paper Model 549"/>
        <s v="Paper Model 554"/>
        <s v="Sofa Model 677"/>
        <s v="Monitor Model 418"/>
        <s v="Table Model 397"/>
        <s v="Paper Model 612"/>
        <s v="Sofa Model 548"/>
        <s v="Notebook Model 960"/>
        <s v="Mouse Model 952"/>
        <s v="Binder Model 953"/>
        <s v="Bookcase Model 968"/>
        <s v="Monitor Model 758"/>
        <s v="Paper Model 202"/>
        <s v="Binder Model 262"/>
        <s v="Paper Model 546"/>
        <s v="Chair Model 993"/>
        <s v="Keyboard Model 892"/>
        <s v="Mouse Model 792"/>
        <s v="Phone Model 350"/>
        <s v="Chair Model 149"/>
        <s v="Phone Model 282"/>
        <s v="Bookcase Model 753"/>
        <s v="Phone Model 949"/>
        <s v="Laptop Model 451"/>
        <s v="Notebook Model 825"/>
        <s v="Chair Model 864"/>
        <s v="Table Model 821"/>
        <s v="Binder Model 802"/>
        <s v="Table Model 991"/>
        <s v="Table Model 934"/>
        <s v="Bookcase Model 776"/>
        <s v="Binder Model 714"/>
        <s v="Chair Model 678"/>
        <s v="Keyboard Model 416"/>
        <s v="Phone Model 127"/>
        <s v="Phone Model 442"/>
        <s v="Sofa Model 524"/>
        <s v="Storage Model 832"/>
        <s v="Laptop Model 590"/>
        <s v="Table Model 848"/>
        <s v="Monitor Model 994"/>
        <s v="Monitor Model 614"/>
        <s v="Bookcase Model 684"/>
        <s v="Monitor Model 699"/>
        <s v="Storage Model 156"/>
        <s v="Bookcase Model 133"/>
        <s v="Table Model 631"/>
        <s v="Mouse Model 112"/>
        <s v="Laptop Model 985"/>
        <s v="Bookcase Model 829"/>
        <s v="Table Model 229"/>
        <s v="Pen Model 453"/>
        <s v="Keyboard Model 460"/>
        <s v="Phone Model 778"/>
        <s v="Chair Model 728"/>
        <s v="Laptop Model 480"/>
        <s v="Bookcase Model 978"/>
        <s v="Notebook Model 636"/>
        <s v="Sofa Model 579"/>
        <s v="Pen Model 594"/>
        <s v="Bookcase Model 756"/>
        <s v="Table Model 237"/>
        <s v="Monitor Model 313"/>
        <s v="Bookcase Model 395"/>
        <s v="Pen Model 126"/>
        <s v="Phone Model 120"/>
        <s v="Laptop Model 953"/>
        <s v="Notebook Model 250"/>
        <s v="Bookcase Model 373"/>
        <s v="Bookcase Model 541"/>
        <s v="Laptop Model 297"/>
        <s v="Paper Model 954"/>
        <s v="Mouse Model 136"/>
        <s v="Laptop Model 719"/>
        <s v="Laptop Model 456"/>
        <s v="Table Model 207"/>
        <s v="Notebook Model 388"/>
        <s v="Phone Model 313"/>
        <s v="Paper Model 744"/>
        <s v="Table Model 841"/>
        <s v="Storage Model 113"/>
        <s v="Notebook Model 142"/>
        <s v="Paper Model 787"/>
        <s v="Pen Model 209"/>
        <s v="Sofa Model 663"/>
        <s v="Pen Model 769"/>
        <s v="Pen Model 356"/>
        <s v="Pen Model 436"/>
        <s v="Monitor Model 766"/>
        <s v="Binder Model 353"/>
        <s v="Phone Model 748"/>
        <s v="Paper Model 522"/>
        <s v="Sofa Model 915"/>
        <s v="Table Model 490"/>
        <s v="Binder Model 617"/>
        <s v="Pen Model 551"/>
        <s v="Monitor Model 805"/>
        <s v="Table Model 359"/>
        <s v="Table Model 384"/>
        <s v="Phone Model 681"/>
        <s v="Binder Model 448"/>
        <s v="Paper Model 927"/>
        <s v="Bookcase Model 281"/>
        <s v="Keyboard Model 308"/>
        <s v="Table Model 494"/>
        <s v="Monitor Model 560"/>
        <s v="Chair Model 359"/>
        <s v="Chair Model 909"/>
        <s v="Bookcase Model 846"/>
        <s v="Keyboard Model 880"/>
        <s v="Table Model 345"/>
        <s v="Binder Model 905"/>
        <s v="Binder Model 599"/>
        <s v="Table Model 940"/>
        <s v="Table Model 463"/>
        <s v="Bookcase Model 376"/>
        <s v="Sofa Model 190"/>
        <s v="Sofa Model 340"/>
        <s v="Chair Model 420"/>
        <s v="Sofa Model 967"/>
        <s v="Binder Model 269"/>
        <s v="Table Model 260"/>
        <s v="Storage Model 597"/>
        <s v="Laptop Model 679"/>
        <s v="Sofa Model 743"/>
        <s v="Phone Model 212"/>
        <s v="Storage Model 450"/>
        <s v="Notebook Model 123"/>
        <s v="Mouse Model 839"/>
        <s v="Laptop Model 775"/>
        <s v="Keyboard Model 743"/>
        <s v="Sofa Model 713"/>
        <s v="Bookcase Model 372"/>
        <s v="Keyboard Model 674"/>
        <s v="Notebook Model 553"/>
        <s v="Table Model 849"/>
        <s v="Keyboard Model 463"/>
        <s v="Monitor Model 441"/>
        <s v="Binder Model 808"/>
        <s v="Monitor Model 311"/>
        <s v="Binder Model 230"/>
        <s v="Chair Model 240"/>
        <s v="Monitor Model 531"/>
        <s v="Phone Model 496"/>
        <s v="Storage Model 243"/>
        <s v="Monitor Model 287"/>
        <s v="Sofa Model 341"/>
        <s v="Mouse Model 552"/>
        <s v="Keyboard Model 592"/>
        <s v="Sofa Model 698"/>
        <s v="Paper Model 475"/>
        <s v="Notebook Model 722"/>
        <s v="Paper Model 771"/>
        <s v="Laptop Model 712"/>
        <s v="Table Model 194"/>
        <s v="Phone Model 810"/>
        <s v="Storage Model 518"/>
        <s v="Table Model 407"/>
        <s v="Pen Model 658"/>
        <s v="Bookcase Model 124"/>
        <s v="Table Model 529"/>
        <s v="Monitor Model 514"/>
        <s v="Bookcase Model 897"/>
        <s v="Notebook Model 115"/>
        <s v="Mouse Model 428"/>
        <s v="Paper Model 263"/>
        <s v="Pen Model 159"/>
        <s v="Phone Model 780"/>
        <s v="Table Model 717"/>
        <s v="Storage Model 554"/>
        <s v="Paper Model 452"/>
        <s v="Monitor Model 854"/>
        <s v="Monitor Model 320"/>
        <s v="Binder Model 422"/>
        <s v="Mouse Model 247"/>
        <s v="Sofa Model 689"/>
        <s v="Phone Model 205"/>
        <s v="Storage Model 810"/>
        <s v="Notebook Model 260"/>
        <s v="Laptop Model 354"/>
        <s v="Keyboard Model 553"/>
        <s v="Monitor Model 150"/>
        <s v="Binder Model 671"/>
        <s v="Storage Model 292"/>
        <s v="Sofa Model 306"/>
        <s v="Notebook Model 355"/>
        <s v="Chair Model 425"/>
        <s v="Mouse Model 685"/>
        <s v="Chair Model 623"/>
        <s v="Storage Model 298"/>
        <s v="Keyboard Model 668"/>
        <s v="Phone Model 160"/>
        <s v="Mouse Model 980"/>
        <s v="Table Model 416"/>
        <s v="Paper Model 981"/>
        <s v="Sofa Model 999"/>
        <s v="Binder Model 867"/>
        <s v="Paper Model 718"/>
        <s v="Pen Model 786"/>
        <s v="Paper Model 310"/>
        <s v="Chair Model 307"/>
        <s v="Keyboard Model 446"/>
        <s v="Binder Model 676"/>
        <s v="Storage Model 259"/>
        <s v="Paper Model 940"/>
        <s v="Sofa Model 610"/>
        <s v="Mouse Model 253"/>
        <s v="Chair Model 133"/>
        <s v="Laptop Model 519"/>
        <s v="Table Model 524"/>
        <s v="Table Model 370"/>
        <s v="Laptop Model 423"/>
        <s v="Paper Model 743"/>
        <s v="Keyboard Model 902"/>
        <s v="Storage Model 124"/>
        <s v="Keyboard Model 824"/>
        <s v="Bookcase Model 233"/>
        <s v="Pen Model 603"/>
        <s v="Laptop Model 892"/>
        <s v="Laptop Model 612"/>
        <s v="Sofa Model 369"/>
        <s v="Notebook Model 446"/>
        <s v="Pen Model 226"/>
        <s v="Notebook Model 113"/>
        <s v="Storage Model 435"/>
        <s v="Bookcase Model 439"/>
        <s v="Table Model 796"/>
        <s v="Sofa Model 437"/>
        <s v="Notebook Model 100"/>
        <s v="Storage Model 894"/>
        <s v="Notebook Model 387"/>
        <s v="Sofa Model 971"/>
        <s v="Notebook Model 836"/>
        <s v="Keyboard Model 921"/>
        <s v="Mouse Model 885"/>
        <s v="Binder Model 850"/>
        <s v="Mouse Model 215"/>
        <s v="Notebook Model 713"/>
        <s v="Keyboard Model 938"/>
        <s v="Table Model 635"/>
        <s v="Notebook Model 354"/>
        <s v="Laptop Model 482"/>
        <s v="Paper Model 387"/>
        <s v="Keyboard Model 498"/>
        <s v="Keyboard Model 486"/>
        <s v="Sofa Model 986"/>
        <s v="Paper Model 895"/>
        <s v="Monitor Model 582"/>
        <s v="Paper Model 933"/>
        <s v="Sofa Model 269"/>
        <s v="Table Model 712"/>
        <s v="Storage Model 612"/>
        <s v="Notebook Model 258"/>
        <s v="Sofa Model 873"/>
        <s v="Storage Model 291"/>
        <s v="Binder Model 837"/>
        <s v="Table Model 205"/>
        <s v="Chair Model 337"/>
        <s v="Binder Model 706"/>
        <s v="Chair Model 428"/>
        <s v="Chair Model 871"/>
        <s v="Chair Model 482"/>
        <s v="Monitor Model 347"/>
        <s v="Mouse Model 743"/>
        <s v="Binder Model 343"/>
        <s v="Monitor Model 515"/>
        <s v="Notebook Model 305"/>
        <s v="Mouse Model 830"/>
        <s v="Paper Model 552"/>
        <s v="Storage Model 992"/>
        <s v="Laptop Model 443"/>
        <s v="Sofa Model 278"/>
        <s v="Table Model 822"/>
        <s v="Pen Model 408"/>
        <s v="Chair Model 745"/>
        <s v="Keyboard Model 190"/>
        <s v="Keyboard Model 618"/>
        <s v="Binder Model 263"/>
        <s v="Paper Model 149"/>
        <s v="Keyboard Model 873"/>
        <s v="Paper Model 304"/>
        <s v="Table Model 749"/>
        <s v="Notebook Model 139"/>
        <s v="Paper Model 856"/>
        <s v="Phone Model 867"/>
        <s v="Pen Model 996"/>
        <s v="Table Model 119"/>
        <s v="Sofa Model 266"/>
        <s v="Sofa Model 757"/>
        <s v="Storage Model 816"/>
        <s v="Laptop Model 294"/>
        <s v="Phone Model 265"/>
        <s v="Pen Model 446"/>
        <s v="Mouse Model 811"/>
        <s v="Bookcase Model 121"/>
        <s v="Bookcase Model 784"/>
        <s v="Phone Model 401"/>
        <s v="Table Model 136"/>
        <s v="Notebook Model 795"/>
        <s v="Chair Model 418"/>
        <s v="Binder Model 300"/>
        <s v="Mouse Model 487"/>
      </sharedItems>
    </cacheField>
    <cacheField name="Sales" numFmtId="164">
      <sharedItems containsSemiMixedTypes="0" containsString="0" containsNumber="1" minValue="616.37" maxValue="89928.23"/>
    </cacheField>
    <cacheField name="Quantity" numFmtId="0">
      <sharedItems containsSemiMixedTypes="0" containsString="0" containsNumber="1" containsInteger="1" minValue="1" maxValue="10"/>
    </cacheField>
    <cacheField name="Discount" numFmtId="9">
      <sharedItems containsSemiMixedTypes="0" containsString="0" containsNumber="1" minValue="0" maxValue="0.3"/>
    </cacheField>
    <cacheField name="Profit" numFmtId="164">
      <sharedItems containsSemiMixedTypes="0" containsString="0" containsNumber="1" minValue="-2549.94" maxValue="25509.79"/>
    </cacheField>
    <cacheField name="Salesperson" numFmtId="0">
      <sharedItems count="8">
        <s v="Neha"/>
        <s v="Rahul"/>
        <s v="Vikas"/>
        <s v="Rohit"/>
        <s v="Sneha"/>
        <s v="Amit"/>
        <s v="Karan"/>
        <s v="Priya"/>
      </sharedItems>
    </cacheField>
    <cacheField name="Ship Mode" numFmtId="0">
      <sharedItems count="4">
        <s v="Same Day"/>
        <s v="Second Class"/>
        <s v="Standard Class"/>
        <s v="First Class"/>
      </sharedItems>
    </cacheField>
    <cacheField name="Months (Order Date)" numFmtId="0" databaseField="0">
      <fieldGroup base="1">
        <rangePr groupBy="months" startDate="2024-01-01T00:00:00" endDate="2025-12-31T00:00:00"/>
        <groupItems count="14">
          <s v="&lt;01-01-2024"/>
          <s v="Jan"/>
          <s v="Feb"/>
          <s v="Mar"/>
          <s v="Apr"/>
          <s v="May"/>
          <s v="Jun"/>
          <s v="Jul"/>
          <s v="Aug"/>
          <s v="Sep"/>
          <s v="Oct"/>
          <s v="Nov"/>
          <s v="Dec"/>
          <s v="&gt;31-12-2025"/>
        </groupItems>
      </fieldGroup>
    </cacheField>
    <cacheField name="Years (Order Date)" numFmtId="0" databaseField="0">
      <fieldGroup base="1">
        <rangePr groupBy="years" startDate="2024-01-01T00:00:00" endDate="2025-12-31T00:00:00"/>
        <groupItems count="4">
          <s v="&lt;01-01-2024"/>
          <s v="2024"/>
          <s v="2025"/>
          <s v="&gt;31-12-2025"/>
        </groupItems>
      </fieldGroup>
    </cacheField>
  </cacheFields>
  <extLst>
    <ext xmlns:x14="http://schemas.microsoft.com/office/spreadsheetml/2009/9/main" uri="{725AE2AE-9491-48be-B2B4-4EB974FC3084}">
      <x14:pivotCacheDefinition pivotCacheId="18697434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01"/>
    <x v="0"/>
    <d v="2025-03-04T00:00:00"/>
    <s v="C1226"/>
    <s v="Customer 179"/>
    <x v="0"/>
    <s v="Pune"/>
    <s v="Maharashtra"/>
    <x v="0"/>
    <x v="0"/>
    <s v="Phone"/>
    <x v="0"/>
    <n v="1698.61"/>
    <n v="5"/>
    <n v="0.25"/>
    <n v="225.17"/>
    <x v="0"/>
    <x v="0"/>
  </r>
  <r>
    <n v="1002"/>
    <x v="1"/>
    <d v="2025-10-22T00:00:00"/>
    <s v="C1064"/>
    <s v="Customer 87"/>
    <x v="1"/>
    <s v="Lucknow"/>
    <s v="Uttar Pradesh"/>
    <x v="1"/>
    <x v="1"/>
    <s v="Bookcase"/>
    <x v="1"/>
    <n v="55644.92"/>
    <n v="1"/>
    <n v="0.05"/>
    <n v="8214.42"/>
    <x v="1"/>
    <x v="1"/>
  </r>
  <r>
    <n v="1003"/>
    <x v="2"/>
    <d v="2025-09-16T00:00:00"/>
    <s v="C1230"/>
    <s v="Customer 75"/>
    <x v="1"/>
    <s v="Lucknow"/>
    <s v="Uttar Pradesh"/>
    <x v="1"/>
    <x v="1"/>
    <s v="Sofa"/>
    <x v="2"/>
    <n v="61955.96"/>
    <n v="1"/>
    <n v="0.3"/>
    <n v="450.1"/>
    <x v="1"/>
    <x v="0"/>
  </r>
  <r>
    <n v="1004"/>
    <x v="3"/>
    <d v="2024-09-20T00:00:00"/>
    <s v="C1262"/>
    <s v="Customer 287"/>
    <x v="2"/>
    <s v="Chennai"/>
    <s v="Tamil Nadu"/>
    <x v="2"/>
    <x v="0"/>
    <s v="Keyboard"/>
    <x v="3"/>
    <n v="78897.61"/>
    <n v="3"/>
    <n v="0"/>
    <n v="6680.93"/>
    <x v="2"/>
    <x v="2"/>
  </r>
  <r>
    <n v="1005"/>
    <x v="4"/>
    <d v="2024-07-21T00:00:00"/>
    <s v="C1274"/>
    <s v="Customer 257"/>
    <x v="0"/>
    <s v="Bhubaneswar"/>
    <s v="Odisha"/>
    <x v="3"/>
    <x v="1"/>
    <s v="Chair"/>
    <x v="4"/>
    <n v="69042.67"/>
    <n v="1"/>
    <n v="0.2"/>
    <n v="2194.35"/>
    <x v="3"/>
    <x v="2"/>
  </r>
  <r>
    <n v="1006"/>
    <x v="5"/>
    <d v="2025-05-28T00:00:00"/>
    <s v="C1242"/>
    <s v="Customer 280"/>
    <x v="0"/>
    <s v="Bhubaneswar"/>
    <s v="Odisha"/>
    <x v="3"/>
    <x v="2"/>
    <s v="Binder"/>
    <x v="5"/>
    <n v="78218.86"/>
    <n v="7"/>
    <n v="0.25"/>
    <n v="14489.86"/>
    <x v="4"/>
    <x v="2"/>
  </r>
  <r>
    <n v="1007"/>
    <x v="6"/>
    <d v="2024-11-09T00:00:00"/>
    <s v="C1033"/>
    <s v="Customer 264"/>
    <x v="2"/>
    <s v="Kolkata"/>
    <s v="West Bengal"/>
    <x v="3"/>
    <x v="0"/>
    <s v="Monitor"/>
    <x v="6"/>
    <n v="49173.79"/>
    <n v="9"/>
    <n v="0"/>
    <n v="9092.8700000000008"/>
    <x v="5"/>
    <x v="0"/>
  </r>
  <r>
    <n v="1008"/>
    <x v="7"/>
    <d v="2025-05-17T00:00:00"/>
    <s v="C1026"/>
    <s v="Customer 195"/>
    <x v="2"/>
    <s v="Bhubaneswar"/>
    <s v="Odisha"/>
    <x v="3"/>
    <x v="1"/>
    <s v="Bookcase"/>
    <x v="7"/>
    <n v="34529.31"/>
    <n v="3"/>
    <n v="0.15"/>
    <n v="3373.39"/>
    <x v="0"/>
    <x v="0"/>
  </r>
  <r>
    <n v="1009"/>
    <x v="8"/>
    <d v="2024-09-26T00:00:00"/>
    <s v="C1233"/>
    <s v="Customer 115"/>
    <x v="0"/>
    <s v="Kolkata"/>
    <s v="West Bengal"/>
    <x v="3"/>
    <x v="2"/>
    <s v="Paper"/>
    <x v="8"/>
    <n v="54736.6"/>
    <n v="4"/>
    <n v="0.2"/>
    <n v="2551.39"/>
    <x v="6"/>
    <x v="1"/>
  </r>
  <r>
    <n v="1010"/>
    <x v="9"/>
    <d v="2024-01-03T00:00:00"/>
    <s v="C1196"/>
    <s v="Customer 224"/>
    <x v="1"/>
    <s v="Bengaluru"/>
    <s v="Karnataka"/>
    <x v="2"/>
    <x v="0"/>
    <s v="Phone"/>
    <x v="9"/>
    <n v="62203.519999999997"/>
    <n v="5"/>
    <n v="0"/>
    <n v="9852.32"/>
    <x v="2"/>
    <x v="1"/>
  </r>
  <r>
    <n v="1011"/>
    <x v="10"/>
    <d v="2025-03-22T00:00:00"/>
    <s v="C1197"/>
    <s v="Customer 183"/>
    <x v="2"/>
    <s v="Ahmedabad"/>
    <s v="Gujarat"/>
    <x v="0"/>
    <x v="1"/>
    <s v="Chair"/>
    <x v="10"/>
    <n v="27155.46"/>
    <n v="10"/>
    <n v="0.05"/>
    <n v="2260.5700000000002"/>
    <x v="0"/>
    <x v="2"/>
  </r>
  <r>
    <n v="1012"/>
    <x v="11"/>
    <d v="2024-08-28T00:00:00"/>
    <s v="C1001"/>
    <s v="Customer 2"/>
    <x v="1"/>
    <s v="Mumbai"/>
    <s v="Maharashtra"/>
    <x v="0"/>
    <x v="0"/>
    <s v="Phone"/>
    <x v="11"/>
    <n v="35609.980000000003"/>
    <n v="10"/>
    <n v="0.1"/>
    <n v="5990.68"/>
    <x v="4"/>
    <x v="1"/>
  </r>
  <r>
    <n v="1013"/>
    <x v="12"/>
    <d v="2024-09-28T00:00:00"/>
    <s v="C1054"/>
    <s v="Customer 11"/>
    <x v="0"/>
    <s v="Ahmedabad"/>
    <s v="Gujarat"/>
    <x v="0"/>
    <x v="0"/>
    <s v="Monitor"/>
    <x v="12"/>
    <n v="83182.09"/>
    <n v="5"/>
    <n v="0.1"/>
    <n v="15816.17"/>
    <x v="1"/>
    <x v="1"/>
  </r>
  <r>
    <n v="1014"/>
    <x v="13"/>
    <d v="2025-11-29T00:00:00"/>
    <s v="C1219"/>
    <s v="Customer 55"/>
    <x v="0"/>
    <s v="Patna"/>
    <s v="Bihar"/>
    <x v="3"/>
    <x v="2"/>
    <s v="Notebook"/>
    <x v="13"/>
    <n v="11853.91"/>
    <n v="3"/>
    <n v="0.3"/>
    <n v="2082.89"/>
    <x v="0"/>
    <x v="1"/>
  </r>
  <r>
    <n v="1015"/>
    <x v="14"/>
    <d v="2024-01-23T00:00:00"/>
    <s v="C1196"/>
    <s v="Customer 197"/>
    <x v="1"/>
    <s v="Jaipur"/>
    <s v="Rajasthan"/>
    <x v="1"/>
    <x v="0"/>
    <s v="Phone"/>
    <x v="14"/>
    <n v="26552.97"/>
    <n v="4"/>
    <n v="0.05"/>
    <n v="6595.25"/>
    <x v="3"/>
    <x v="1"/>
  </r>
  <r>
    <n v="1016"/>
    <x v="15"/>
    <d v="2024-08-17T00:00:00"/>
    <s v="C1027"/>
    <s v="Customer 153"/>
    <x v="2"/>
    <s v="Hyderabad"/>
    <s v="Telangana"/>
    <x v="2"/>
    <x v="1"/>
    <s v="Bookcase"/>
    <x v="15"/>
    <n v="29017.51"/>
    <n v="1"/>
    <n v="0.15"/>
    <n v="4748.43"/>
    <x v="7"/>
    <x v="0"/>
  </r>
  <r>
    <n v="1017"/>
    <x v="16"/>
    <d v="2024-07-27T00:00:00"/>
    <s v="C1223"/>
    <s v="Customer 67"/>
    <x v="2"/>
    <s v="Delhi"/>
    <s v="Delhi"/>
    <x v="1"/>
    <x v="2"/>
    <s v="Paper"/>
    <x v="16"/>
    <n v="37046.29"/>
    <n v="8"/>
    <n v="0.05"/>
    <n v="5104.2"/>
    <x v="1"/>
    <x v="3"/>
  </r>
  <r>
    <n v="1018"/>
    <x v="0"/>
    <d v="2025-03-08T00:00:00"/>
    <s v="C1103"/>
    <s v="Customer 144"/>
    <x v="1"/>
    <s v="Pune"/>
    <s v="Maharashtra"/>
    <x v="0"/>
    <x v="2"/>
    <s v="Notebook"/>
    <x v="17"/>
    <n v="3407.63"/>
    <n v="3"/>
    <n v="0.3"/>
    <n v="258.88"/>
    <x v="3"/>
    <x v="2"/>
  </r>
  <r>
    <n v="1019"/>
    <x v="17"/>
    <d v="2024-08-16T00:00:00"/>
    <s v="C1210"/>
    <s v="Customer 186"/>
    <x v="2"/>
    <s v="Mumbai"/>
    <s v="Maharashtra"/>
    <x v="0"/>
    <x v="1"/>
    <s v="Chair"/>
    <x v="18"/>
    <n v="82387.22"/>
    <n v="4"/>
    <n v="0.05"/>
    <n v="5509.05"/>
    <x v="5"/>
    <x v="0"/>
  </r>
  <r>
    <n v="1020"/>
    <x v="18"/>
    <d v="2024-05-07T00:00:00"/>
    <s v="C1113"/>
    <s v="Customer 60"/>
    <x v="2"/>
    <s v="Lucknow"/>
    <s v="Uttar Pradesh"/>
    <x v="1"/>
    <x v="1"/>
    <s v="Table"/>
    <x v="19"/>
    <n v="56019.4"/>
    <n v="4"/>
    <n v="0.15"/>
    <n v="8328.35"/>
    <x v="5"/>
    <x v="2"/>
  </r>
  <r>
    <n v="1021"/>
    <x v="19"/>
    <d v="2025-06-10T00:00:00"/>
    <s v="C1220"/>
    <s v="Customer 46"/>
    <x v="0"/>
    <s v="Mumbai"/>
    <s v="Maharashtra"/>
    <x v="0"/>
    <x v="1"/>
    <s v="Table"/>
    <x v="20"/>
    <n v="57814.98"/>
    <n v="10"/>
    <n v="0.15"/>
    <n v="13610.57"/>
    <x v="6"/>
    <x v="1"/>
  </r>
  <r>
    <n v="1022"/>
    <x v="20"/>
    <d v="2024-11-02T00:00:00"/>
    <s v="C1253"/>
    <s v="Customer 298"/>
    <x v="1"/>
    <s v="Mumbai"/>
    <s v="Maharashtra"/>
    <x v="0"/>
    <x v="0"/>
    <s v="Monitor"/>
    <x v="21"/>
    <n v="18917.72"/>
    <n v="1"/>
    <n v="0.05"/>
    <n v="1607.14"/>
    <x v="6"/>
    <x v="2"/>
  </r>
  <r>
    <n v="1023"/>
    <x v="21"/>
    <d v="2024-07-28T00:00:00"/>
    <s v="C1134"/>
    <s v="Customer 143"/>
    <x v="1"/>
    <s v="Hyderabad"/>
    <s v="Telangana"/>
    <x v="2"/>
    <x v="1"/>
    <s v="Sofa"/>
    <x v="22"/>
    <n v="52656.58"/>
    <n v="9"/>
    <n v="0.3"/>
    <n v="3407.09"/>
    <x v="1"/>
    <x v="1"/>
  </r>
  <r>
    <n v="1024"/>
    <x v="22"/>
    <d v="2024-03-02T00:00:00"/>
    <s v="C1195"/>
    <s v="Customer 183"/>
    <x v="1"/>
    <s v="Kolkata"/>
    <s v="West Bengal"/>
    <x v="3"/>
    <x v="1"/>
    <s v="Chair"/>
    <x v="23"/>
    <n v="52720.9"/>
    <n v="2"/>
    <n v="0.25"/>
    <n v="5445.02"/>
    <x v="5"/>
    <x v="0"/>
  </r>
  <r>
    <n v="1025"/>
    <x v="23"/>
    <d v="2025-10-10T00:00:00"/>
    <s v="C1209"/>
    <s v="Customer 204"/>
    <x v="2"/>
    <s v="Jaipur"/>
    <s v="Rajasthan"/>
    <x v="1"/>
    <x v="0"/>
    <s v="Keyboard"/>
    <x v="24"/>
    <n v="35410.339999999997"/>
    <n v="3"/>
    <n v="0.05"/>
    <n v="4513.22"/>
    <x v="0"/>
    <x v="2"/>
  </r>
  <r>
    <n v="1026"/>
    <x v="24"/>
    <d v="2024-08-17T00:00:00"/>
    <s v="C1012"/>
    <s v="Customer 68"/>
    <x v="1"/>
    <s v="Bengaluru"/>
    <s v="Karnataka"/>
    <x v="2"/>
    <x v="1"/>
    <s v="Chair"/>
    <x v="25"/>
    <n v="33181.17"/>
    <n v="7"/>
    <n v="0.05"/>
    <n v="5003.08"/>
    <x v="5"/>
    <x v="2"/>
  </r>
  <r>
    <n v="1027"/>
    <x v="25"/>
    <d v="2025-05-27T00:00:00"/>
    <s v="C1293"/>
    <s v="Customer 187"/>
    <x v="0"/>
    <s v="Bhubaneswar"/>
    <s v="Odisha"/>
    <x v="3"/>
    <x v="1"/>
    <s v="Sofa"/>
    <x v="26"/>
    <n v="33861.550000000003"/>
    <n v="9"/>
    <n v="0.05"/>
    <n v="4160.4799999999996"/>
    <x v="3"/>
    <x v="3"/>
  </r>
  <r>
    <n v="1028"/>
    <x v="26"/>
    <d v="2024-08-02T00:00:00"/>
    <s v="C1154"/>
    <s v="Customer 55"/>
    <x v="2"/>
    <s v="Chennai"/>
    <s v="Tamil Nadu"/>
    <x v="2"/>
    <x v="1"/>
    <s v="Chair"/>
    <x v="27"/>
    <n v="48771.57"/>
    <n v="7"/>
    <n v="0.3"/>
    <n v="3314.7"/>
    <x v="4"/>
    <x v="1"/>
  </r>
  <r>
    <n v="1029"/>
    <x v="27"/>
    <d v="2024-10-02T00:00:00"/>
    <s v="C1026"/>
    <s v="Customer 123"/>
    <x v="2"/>
    <s v="Patna"/>
    <s v="Bihar"/>
    <x v="3"/>
    <x v="1"/>
    <s v="Table"/>
    <x v="28"/>
    <n v="72118.820000000007"/>
    <n v="8"/>
    <n v="0.2"/>
    <n v="908.63"/>
    <x v="7"/>
    <x v="2"/>
  </r>
  <r>
    <n v="1030"/>
    <x v="28"/>
    <d v="2025-12-29T00:00:00"/>
    <s v="C1127"/>
    <s v="Customer 129"/>
    <x v="2"/>
    <s v="Lucknow"/>
    <s v="Uttar Pradesh"/>
    <x v="1"/>
    <x v="2"/>
    <s v="Storage"/>
    <x v="29"/>
    <n v="29212.959999999999"/>
    <n v="7"/>
    <n v="0.25"/>
    <n v="5321.27"/>
    <x v="6"/>
    <x v="0"/>
  </r>
  <r>
    <n v="1031"/>
    <x v="29"/>
    <d v="2025-06-07T00:00:00"/>
    <s v="C1166"/>
    <s v="Customer 176"/>
    <x v="1"/>
    <s v="Mumbai"/>
    <s v="Maharashtra"/>
    <x v="0"/>
    <x v="2"/>
    <s v="Paper"/>
    <x v="30"/>
    <n v="72131.820000000007"/>
    <n v="7"/>
    <n v="0.15"/>
    <n v="4835.6899999999996"/>
    <x v="1"/>
    <x v="2"/>
  </r>
  <r>
    <n v="1032"/>
    <x v="30"/>
    <d v="2024-03-04T00:00:00"/>
    <s v="C1019"/>
    <s v="Customer 40"/>
    <x v="0"/>
    <s v="Jaipur"/>
    <s v="Rajasthan"/>
    <x v="1"/>
    <x v="2"/>
    <s v="Binder"/>
    <x v="31"/>
    <n v="40235.300000000003"/>
    <n v="1"/>
    <n v="0.2"/>
    <n v="486.45"/>
    <x v="1"/>
    <x v="1"/>
  </r>
  <r>
    <n v="1033"/>
    <x v="31"/>
    <d v="2024-08-02T00:00:00"/>
    <s v="C1134"/>
    <s v="Customer 94"/>
    <x v="2"/>
    <s v="Patna"/>
    <s v="Bihar"/>
    <x v="3"/>
    <x v="2"/>
    <s v="Storage"/>
    <x v="32"/>
    <n v="76721.960000000006"/>
    <n v="6"/>
    <n v="0"/>
    <n v="21112.74"/>
    <x v="7"/>
    <x v="2"/>
  </r>
  <r>
    <n v="1034"/>
    <x v="32"/>
    <d v="2025-12-06T00:00:00"/>
    <s v="C1173"/>
    <s v="Customer 113"/>
    <x v="1"/>
    <s v="Mumbai"/>
    <s v="Maharashtra"/>
    <x v="0"/>
    <x v="0"/>
    <s v="Monitor"/>
    <x v="33"/>
    <n v="83966.87"/>
    <n v="1"/>
    <n v="0.05"/>
    <n v="20667.75"/>
    <x v="3"/>
    <x v="1"/>
  </r>
  <r>
    <n v="1035"/>
    <x v="33"/>
    <d v="2025-12-24T00:00:00"/>
    <s v="C1083"/>
    <s v="Customer 109"/>
    <x v="0"/>
    <s v="Bhubaneswar"/>
    <s v="Odisha"/>
    <x v="3"/>
    <x v="0"/>
    <s v="Phone"/>
    <x v="34"/>
    <n v="21910.03"/>
    <n v="9"/>
    <n v="0.15"/>
    <n v="569.03"/>
    <x v="3"/>
    <x v="1"/>
  </r>
  <r>
    <n v="1036"/>
    <x v="34"/>
    <d v="2024-04-17T00:00:00"/>
    <s v="C1135"/>
    <s v="Customer 115"/>
    <x v="2"/>
    <s v="Pune"/>
    <s v="Maharashtra"/>
    <x v="0"/>
    <x v="1"/>
    <s v="Bookcase"/>
    <x v="35"/>
    <n v="46302.49"/>
    <n v="6"/>
    <n v="0.15"/>
    <n v="7202.23"/>
    <x v="4"/>
    <x v="2"/>
  </r>
  <r>
    <n v="1037"/>
    <x v="35"/>
    <d v="2025-08-30T00:00:00"/>
    <s v="C1293"/>
    <s v="Customer 228"/>
    <x v="1"/>
    <s v="Chennai"/>
    <s v="Tamil Nadu"/>
    <x v="2"/>
    <x v="0"/>
    <s v="Phone"/>
    <x v="36"/>
    <n v="7175.24"/>
    <n v="9"/>
    <n v="0.05"/>
    <n v="508.99"/>
    <x v="0"/>
    <x v="2"/>
  </r>
  <r>
    <n v="1038"/>
    <x v="36"/>
    <d v="2024-01-27T00:00:00"/>
    <s v="C1272"/>
    <s v="Customer 239"/>
    <x v="2"/>
    <s v="Patna"/>
    <s v="Bihar"/>
    <x v="3"/>
    <x v="1"/>
    <s v="Sofa"/>
    <x v="37"/>
    <n v="54847.71"/>
    <n v="9"/>
    <n v="0.15"/>
    <n v="10841.03"/>
    <x v="7"/>
    <x v="3"/>
  </r>
  <r>
    <n v="1039"/>
    <x v="37"/>
    <d v="2024-01-26T00:00:00"/>
    <s v="C1061"/>
    <s v="Customer 260"/>
    <x v="1"/>
    <s v="Chennai"/>
    <s v="Tamil Nadu"/>
    <x v="2"/>
    <x v="0"/>
    <s v="Monitor"/>
    <x v="38"/>
    <n v="41072.58"/>
    <n v="8"/>
    <n v="0.05"/>
    <n v="5746.81"/>
    <x v="4"/>
    <x v="0"/>
  </r>
  <r>
    <n v="1040"/>
    <x v="38"/>
    <d v="2024-12-23T00:00:00"/>
    <s v="C1179"/>
    <s v="Customer 185"/>
    <x v="0"/>
    <s v="Mumbai"/>
    <s v="Maharashtra"/>
    <x v="0"/>
    <x v="1"/>
    <s v="Bookcase"/>
    <x v="39"/>
    <n v="53108.83"/>
    <n v="1"/>
    <n v="0.3"/>
    <n v="3637.28"/>
    <x v="7"/>
    <x v="3"/>
  </r>
  <r>
    <n v="1041"/>
    <x v="39"/>
    <d v="2024-07-15T00:00:00"/>
    <s v="C1125"/>
    <s v="Customer 31"/>
    <x v="1"/>
    <s v="Bhubaneswar"/>
    <s v="Odisha"/>
    <x v="3"/>
    <x v="2"/>
    <s v="Pen"/>
    <x v="40"/>
    <n v="26063.040000000001"/>
    <n v="8"/>
    <n v="0.25"/>
    <n v="2561.4699999999998"/>
    <x v="5"/>
    <x v="1"/>
  </r>
  <r>
    <n v="1042"/>
    <x v="40"/>
    <d v="2025-04-24T00:00:00"/>
    <s v="C1208"/>
    <s v="Customer 155"/>
    <x v="1"/>
    <s v="Jaipur"/>
    <s v="Rajasthan"/>
    <x v="1"/>
    <x v="1"/>
    <s v="Table"/>
    <x v="41"/>
    <n v="78845.03"/>
    <n v="2"/>
    <n v="0.3"/>
    <n v="6077.6"/>
    <x v="4"/>
    <x v="2"/>
  </r>
  <r>
    <n v="1043"/>
    <x v="41"/>
    <d v="2025-05-11T00:00:00"/>
    <s v="C1094"/>
    <s v="Customer 36"/>
    <x v="0"/>
    <s v="Ahmedabad"/>
    <s v="Gujarat"/>
    <x v="0"/>
    <x v="0"/>
    <s v="Monitor"/>
    <x v="42"/>
    <n v="31590.49"/>
    <n v="8"/>
    <n v="0.3"/>
    <n v="1368.26"/>
    <x v="4"/>
    <x v="1"/>
  </r>
  <r>
    <n v="1044"/>
    <x v="42"/>
    <d v="2025-03-02T00:00:00"/>
    <s v="C1100"/>
    <s v="Customer 13"/>
    <x v="0"/>
    <s v="Chennai"/>
    <s v="Tamil Nadu"/>
    <x v="2"/>
    <x v="1"/>
    <s v="Sofa"/>
    <x v="43"/>
    <n v="30919.77"/>
    <n v="9"/>
    <n v="0.05"/>
    <n v="8485.5400000000009"/>
    <x v="2"/>
    <x v="0"/>
  </r>
  <r>
    <n v="1045"/>
    <x v="43"/>
    <d v="2025-11-11T00:00:00"/>
    <s v="C1109"/>
    <s v="Customer 158"/>
    <x v="1"/>
    <s v="Hyderabad"/>
    <s v="Telangana"/>
    <x v="2"/>
    <x v="2"/>
    <s v="Notebook"/>
    <x v="44"/>
    <n v="66063.98"/>
    <n v="5"/>
    <n v="0.05"/>
    <n v="7406.48"/>
    <x v="3"/>
    <x v="2"/>
  </r>
  <r>
    <n v="1046"/>
    <x v="44"/>
    <d v="2025-12-27T00:00:00"/>
    <s v="C1293"/>
    <s v="Customer 99"/>
    <x v="0"/>
    <s v="Patna"/>
    <s v="Bihar"/>
    <x v="3"/>
    <x v="2"/>
    <s v="Storage"/>
    <x v="45"/>
    <n v="31236.66"/>
    <n v="3"/>
    <n v="0.1"/>
    <n v="4026.87"/>
    <x v="4"/>
    <x v="2"/>
  </r>
  <r>
    <n v="1047"/>
    <x v="45"/>
    <d v="2025-02-06T00:00:00"/>
    <s v="C1023"/>
    <s v="Customer 175"/>
    <x v="2"/>
    <s v="Bengaluru"/>
    <s v="Karnataka"/>
    <x v="2"/>
    <x v="0"/>
    <s v="Phone"/>
    <x v="46"/>
    <n v="8153.79"/>
    <n v="8"/>
    <n v="0.05"/>
    <n v="1279.8599999999999"/>
    <x v="7"/>
    <x v="0"/>
  </r>
  <r>
    <n v="1048"/>
    <x v="46"/>
    <d v="2025-01-18T00:00:00"/>
    <s v="C1127"/>
    <s v="Customer 175"/>
    <x v="2"/>
    <s v="Patna"/>
    <s v="Bihar"/>
    <x v="3"/>
    <x v="1"/>
    <s v="Bookcase"/>
    <x v="47"/>
    <n v="4713.38"/>
    <n v="8"/>
    <n v="0.15"/>
    <n v="897.07"/>
    <x v="3"/>
    <x v="0"/>
  </r>
  <r>
    <n v="1049"/>
    <x v="47"/>
    <d v="2025-11-11T00:00:00"/>
    <s v="C1162"/>
    <s v="Customer 94"/>
    <x v="0"/>
    <s v="Lucknow"/>
    <s v="Uttar Pradesh"/>
    <x v="1"/>
    <x v="1"/>
    <s v="Table"/>
    <x v="48"/>
    <n v="53366.48"/>
    <n v="10"/>
    <n v="0.25"/>
    <n v="2815.81"/>
    <x v="0"/>
    <x v="0"/>
  </r>
  <r>
    <n v="1050"/>
    <x v="48"/>
    <d v="2025-09-07T00:00:00"/>
    <s v="C1050"/>
    <s v="Customer 281"/>
    <x v="2"/>
    <s v="Ahmedabad"/>
    <s v="Gujarat"/>
    <x v="0"/>
    <x v="0"/>
    <s v="Laptop"/>
    <x v="49"/>
    <n v="43714.06"/>
    <n v="2"/>
    <n v="0.1"/>
    <n v="6618.5"/>
    <x v="2"/>
    <x v="0"/>
  </r>
  <r>
    <n v="1051"/>
    <x v="49"/>
    <d v="2025-01-12T00:00:00"/>
    <s v="C1131"/>
    <s v="Customer 58"/>
    <x v="1"/>
    <s v="Bhubaneswar"/>
    <s v="Odisha"/>
    <x v="3"/>
    <x v="1"/>
    <s v="Sofa"/>
    <x v="50"/>
    <n v="12035.46"/>
    <n v="4"/>
    <n v="0"/>
    <n v="1990.99"/>
    <x v="0"/>
    <x v="2"/>
  </r>
  <r>
    <n v="1052"/>
    <x v="50"/>
    <d v="2024-12-16T00:00:00"/>
    <s v="C1297"/>
    <s v="Customer 127"/>
    <x v="2"/>
    <s v="Chennai"/>
    <s v="Tamil Nadu"/>
    <x v="2"/>
    <x v="1"/>
    <s v="Bookcase"/>
    <x v="51"/>
    <n v="11627.67"/>
    <n v="1"/>
    <n v="0.1"/>
    <n v="1140.1500000000001"/>
    <x v="7"/>
    <x v="0"/>
  </r>
  <r>
    <n v="1053"/>
    <x v="51"/>
    <d v="2025-09-22T00:00:00"/>
    <s v="C1024"/>
    <s v="Customer 105"/>
    <x v="1"/>
    <s v="Mumbai"/>
    <s v="Maharashtra"/>
    <x v="0"/>
    <x v="2"/>
    <s v="Storage"/>
    <x v="52"/>
    <n v="69914.06"/>
    <n v="5"/>
    <n v="0.25"/>
    <n v="12473.37"/>
    <x v="0"/>
    <x v="3"/>
  </r>
  <r>
    <n v="1054"/>
    <x v="52"/>
    <d v="2025-01-25T00:00:00"/>
    <s v="C1082"/>
    <s v="Customer 179"/>
    <x v="0"/>
    <s v="Bhubaneswar"/>
    <s v="Odisha"/>
    <x v="3"/>
    <x v="0"/>
    <s v="Mouse"/>
    <x v="53"/>
    <n v="69226.100000000006"/>
    <n v="9"/>
    <n v="0"/>
    <n v="10514.38"/>
    <x v="3"/>
    <x v="0"/>
  </r>
  <r>
    <n v="1055"/>
    <x v="53"/>
    <d v="2024-03-20T00:00:00"/>
    <s v="C1198"/>
    <s v="Customer 272"/>
    <x v="0"/>
    <s v="Bhubaneswar"/>
    <s v="Odisha"/>
    <x v="3"/>
    <x v="2"/>
    <s v="Binder"/>
    <x v="54"/>
    <n v="47791.48"/>
    <n v="1"/>
    <n v="0.1"/>
    <n v="5021.96"/>
    <x v="6"/>
    <x v="0"/>
  </r>
  <r>
    <n v="1056"/>
    <x v="54"/>
    <d v="2025-07-26T00:00:00"/>
    <s v="C1197"/>
    <s v="Customer 132"/>
    <x v="0"/>
    <s v="Mumbai"/>
    <s v="Maharashtra"/>
    <x v="0"/>
    <x v="2"/>
    <s v="Paper"/>
    <x v="55"/>
    <n v="51284.66"/>
    <n v="1"/>
    <n v="0.15"/>
    <n v="9485.42"/>
    <x v="2"/>
    <x v="2"/>
  </r>
  <r>
    <n v="1057"/>
    <x v="55"/>
    <d v="2024-06-07T00:00:00"/>
    <s v="C1149"/>
    <s v="Customer 289"/>
    <x v="0"/>
    <s v="Mumbai"/>
    <s v="Maharashtra"/>
    <x v="0"/>
    <x v="2"/>
    <s v="Paper"/>
    <x v="56"/>
    <n v="84523.75"/>
    <n v="1"/>
    <n v="0.2"/>
    <n v="11739.49"/>
    <x v="7"/>
    <x v="0"/>
  </r>
  <r>
    <n v="1058"/>
    <x v="56"/>
    <d v="2025-04-13T00:00:00"/>
    <s v="C1031"/>
    <s v="Customer 51"/>
    <x v="2"/>
    <s v="Ahmedabad"/>
    <s v="Gujarat"/>
    <x v="0"/>
    <x v="2"/>
    <s v="Binder"/>
    <x v="57"/>
    <n v="28972.080000000002"/>
    <n v="4"/>
    <n v="0.15"/>
    <n v="2175.4"/>
    <x v="4"/>
    <x v="3"/>
  </r>
  <r>
    <n v="1059"/>
    <x v="57"/>
    <d v="2024-10-12T00:00:00"/>
    <s v="C1184"/>
    <s v="Customer 245"/>
    <x v="1"/>
    <s v="Bhubaneswar"/>
    <s v="Odisha"/>
    <x v="3"/>
    <x v="0"/>
    <s v="Phone"/>
    <x v="58"/>
    <n v="9493.33"/>
    <n v="9"/>
    <n v="0.05"/>
    <n v="2432.09"/>
    <x v="7"/>
    <x v="3"/>
  </r>
  <r>
    <n v="1060"/>
    <x v="58"/>
    <d v="2024-08-16T00:00:00"/>
    <s v="C1260"/>
    <s v="Customer 300"/>
    <x v="1"/>
    <s v="Chennai"/>
    <s v="Tamil Nadu"/>
    <x v="2"/>
    <x v="0"/>
    <s v="Laptop"/>
    <x v="59"/>
    <n v="40561.040000000001"/>
    <n v="6"/>
    <n v="0.3"/>
    <n v="196.68"/>
    <x v="3"/>
    <x v="1"/>
  </r>
  <r>
    <n v="1061"/>
    <x v="59"/>
    <d v="2025-08-12T00:00:00"/>
    <s v="C1234"/>
    <s v="Customer 284"/>
    <x v="2"/>
    <s v="Chennai"/>
    <s v="Tamil Nadu"/>
    <x v="2"/>
    <x v="2"/>
    <s v="Pen"/>
    <x v="60"/>
    <n v="81647.12"/>
    <n v="6"/>
    <n v="0.1"/>
    <n v="11754.64"/>
    <x v="0"/>
    <x v="2"/>
  </r>
  <r>
    <n v="1062"/>
    <x v="60"/>
    <d v="2024-12-13T00:00:00"/>
    <s v="C1178"/>
    <s v="Customer 73"/>
    <x v="2"/>
    <s v="Bhubaneswar"/>
    <s v="Odisha"/>
    <x v="3"/>
    <x v="2"/>
    <s v="Paper"/>
    <x v="61"/>
    <n v="23466.34"/>
    <n v="3"/>
    <n v="0.3"/>
    <n v="3573.68"/>
    <x v="6"/>
    <x v="3"/>
  </r>
  <r>
    <n v="1063"/>
    <x v="61"/>
    <d v="2024-05-21T00:00:00"/>
    <s v="C1143"/>
    <s v="Customer 289"/>
    <x v="2"/>
    <s v="Kolkata"/>
    <s v="West Bengal"/>
    <x v="3"/>
    <x v="2"/>
    <s v="Binder"/>
    <x v="62"/>
    <n v="57309.4"/>
    <n v="10"/>
    <n v="0.3"/>
    <n v="6709.49"/>
    <x v="0"/>
    <x v="0"/>
  </r>
  <r>
    <n v="1064"/>
    <x v="26"/>
    <d v="2024-08-04T00:00:00"/>
    <s v="C1088"/>
    <s v="Customer 133"/>
    <x v="0"/>
    <s v="Chennai"/>
    <s v="Tamil Nadu"/>
    <x v="2"/>
    <x v="2"/>
    <s v="Storage"/>
    <x v="63"/>
    <n v="6026.07"/>
    <n v="5"/>
    <n v="0.25"/>
    <n v="-15.44"/>
    <x v="0"/>
    <x v="2"/>
  </r>
  <r>
    <n v="1065"/>
    <x v="62"/>
    <d v="2024-05-03T00:00:00"/>
    <s v="C1256"/>
    <s v="Customer 129"/>
    <x v="1"/>
    <s v="Mumbai"/>
    <s v="Maharashtra"/>
    <x v="0"/>
    <x v="2"/>
    <s v="Paper"/>
    <x v="64"/>
    <n v="43967.39"/>
    <n v="6"/>
    <n v="0.1"/>
    <n v="7089.73"/>
    <x v="4"/>
    <x v="2"/>
  </r>
  <r>
    <n v="1066"/>
    <x v="38"/>
    <d v="2024-12-24T00:00:00"/>
    <s v="C1156"/>
    <s v="Customer 57"/>
    <x v="1"/>
    <s v="Hyderabad"/>
    <s v="Telangana"/>
    <x v="2"/>
    <x v="2"/>
    <s v="Storage"/>
    <x v="65"/>
    <n v="53879.37"/>
    <n v="7"/>
    <n v="0.15"/>
    <n v="8144.86"/>
    <x v="1"/>
    <x v="3"/>
  </r>
  <r>
    <n v="1067"/>
    <x v="63"/>
    <d v="2025-02-10T00:00:00"/>
    <s v="C1284"/>
    <s v="Customer 261"/>
    <x v="1"/>
    <s v="Hyderabad"/>
    <s v="Telangana"/>
    <x v="2"/>
    <x v="0"/>
    <s v="Phone"/>
    <x v="66"/>
    <n v="37259.96"/>
    <n v="8"/>
    <n v="0.1"/>
    <n v="5114.3"/>
    <x v="4"/>
    <x v="1"/>
  </r>
  <r>
    <n v="1068"/>
    <x v="64"/>
    <d v="2025-11-25T00:00:00"/>
    <s v="C1068"/>
    <s v="Customer 113"/>
    <x v="0"/>
    <s v="Bengaluru"/>
    <s v="Karnataka"/>
    <x v="2"/>
    <x v="1"/>
    <s v="Chair"/>
    <x v="67"/>
    <n v="2915.56"/>
    <n v="7"/>
    <n v="0.1"/>
    <n v="426.4"/>
    <x v="5"/>
    <x v="3"/>
  </r>
  <r>
    <n v="1069"/>
    <x v="65"/>
    <d v="2024-12-15T00:00:00"/>
    <s v="C1080"/>
    <s v="Customer 104"/>
    <x v="0"/>
    <s v="Bhubaneswar"/>
    <s v="Odisha"/>
    <x v="3"/>
    <x v="2"/>
    <s v="Storage"/>
    <x v="68"/>
    <n v="85404.2"/>
    <n v="6"/>
    <n v="0"/>
    <n v="10408.68"/>
    <x v="3"/>
    <x v="0"/>
  </r>
  <r>
    <n v="1070"/>
    <x v="66"/>
    <d v="2025-07-20T00:00:00"/>
    <s v="C1093"/>
    <s v="Customer 297"/>
    <x v="2"/>
    <s v="Delhi"/>
    <s v="Delhi"/>
    <x v="1"/>
    <x v="1"/>
    <s v="Table"/>
    <x v="69"/>
    <n v="714.55"/>
    <n v="6"/>
    <n v="0.3"/>
    <n v="-2.74"/>
    <x v="4"/>
    <x v="2"/>
  </r>
  <r>
    <n v="1071"/>
    <x v="67"/>
    <d v="2025-04-04T00:00:00"/>
    <s v="C1149"/>
    <s v="Customer 150"/>
    <x v="1"/>
    <s v="Jaipur"/>
    <s v="Rajasthan"/>
    <x v="1"/>
    <x v="0"/>
    <s v="Monitor"/>
    <x v="70"/>
    <n v="21223.55"/>
    <n v="1"/>
    <n v="0.2"/>
    <n v="210.92"/>
    <x v="4"/>
    <x v="0"/>
  </r>
  <r>
    <n v="1072"/>
    <x v="68"/>
    <d v="2025-05-15T00:00:00"/>
    <s v="C1053"/>
    <s v="Customer 184"/>
    <x v="1"/>
    <s v="Chennai"/>
    <s v="Tamil Nadu"/>
    <x v="2"/>
    <x v="0"/>
    <s v="Monitor"/>
    <x v="71"/>
    <n v="70321.2"/>
    <n v="2"/>
    <n v="0.15"/>
    <n v="14803.71"/>
    <x v="4"/>
    <x v="1"/>
  </r>
  <r>
    <n v="1073"/>
    <x v="69"/>
    <d v="2024-05-01T00:00:00"/>
    <s v="C1091"/>
    <s v="Customer 13"/>
    <x v="2"/>
    <s v="Jaipur"/>
    <s v="Rajasthan"/>
    <x v="1"/>
    <x v="0"/>
    <s v="Laptop"/>
    <x v="72"/>
    <n v="64022.78"/>
    <n v="9"/>
    <n v="0"/>
    <n v="10256.17"/>
    <x v="0"/>
    <x v="2"/>
  </r>
  <r>
    <n v="1074"/>
    <x v="70"/>
    <d v="2025-10-30T00:00:00"/>
    <s v="C1144"/>
    <s v="Customer 50"/>
    <x v="0"/>
    <s v="Patna"/>
    <s v="Bihar"/>
    <x v="3"/>
    <x v="2"/>
    <s v="Notebook"/>
    <x v="73"/>
    <n v="30271.919999999998"/>
    <n v="2"/>
    <n v="0"/>
    <n v="7527.64"/>
    <x v="6"/>
    <x v="0"/>
  </r>
  <r>
    <n v="1075"/>
    <x v="71"/>
    <d v="2024-08-28T00:00:00"/>
    <s v="C1037"/>
    <s v="Customer 181"/>
    <x v="2"/>
    <s v="Delhi"/>
    <s v="Delhi"/>
    <x v="1"/>
    <x v="1"/>
    <s v="Chair"/>
    <x v="74"/>
    <n v="50608.27"/>
    <n v="7"/>
    <n v="0.3"/>
    <n v="3331.61"/>
    <x v="1"/>
    <x v="3"/>
  </r>
  <r>
    <n v="1076"/>
    <x v="72"/>
    <d v="2025-01-31T00:00:00"/>
    <s v="C1057"/>
    <s v="Customer 124"/>
    <x v="0"/>
    <s v="Lucknow"/>
    <s v="Uttar Pradesh"/>
    <x v="1"/>
    <x v="2"/>
    <s v="Storage"/>
    <x v="75"/>
    <n v="47993.07"/>
    <n v="5"/>
    <n v="0.15"/>
    <n v="1843.9"/>
    <x v="0"/>
    <x v="0"/>
  </r>
  <r>
    <n v="1077"/>
    <x v="73"/>
    <d v="2024-02-27T00:00:00"/>
    <s v="C1176"/>
    <s v="Customer 216"/>
    <x v="2"/>
    <s v="Bhubaneswar"/>
    <s v="Odisha"/>
    <x v="3"/>
    <x v="2"/>
    <s v="Pen"/>
    <x v="76"/>
    <n v="51495.03"/>
    <n v="10"/>
    <n v="0.3"/>
    <n v="4150.09"/>
    <x v="6"/>
    <x v="3"/>
  </r>
  <r>
    <n v="1078"/>
    <x v="74"/>
    <d v="2024-03-08T00:00:00"/>
    <s v="C1169"/>
    <s v="Customer 21"/>
    <x v="0"/>
    <s v="Ahmedabad"/>
    <s v="Gujarat"/>
    <x v="0"/>
    <x v="0"/>
    <s v="Keyboard"/>
    <x v="77"/>
    <n v="55490.94"/>
    <n v="6"/>
    <n v="0.25"/>
    <n v="3918.68"/>
    <x v="5"/>
    <x v="1"/>
  </r>
  <r>
    <n v="1079"/>
    <x v="75"/>
    <d v="2025-03-15T00:00:00"/>
    <s v="C1300"/>
    <s v="Customer 38"/>
    <x v="1"/>
    <s v="Mumbai"/>
    <s v="Maharashtra"/>
    <x v="0"/>
    <x v="2"/>
    <s v="Storage"/>
    <x v="78"/>
    <n v="20950.32"/>
    <n v="3"/>
    <n v="0.1"/>
    <n v="2916.8"/>
    <x v="2"/>
    <x v="3"/>
  </r>
  <r>
    <n v="1080"/>
    <x v="76"/>
    <d v="2025-12-02T00:00:00"/>
    <s v="C1137"/>
    <s v="Customer 2"/>
    <x v="1"/>
    <s v="Patna"/>
    <s v="Bihar"/>
    <x v="3"/>
    <x v="2"/>
    <s v="Notebook"/>
    <x v="79"/>
    <n v="42567.32"/>
    <n v="6"/>
    <n v="0.3"/>
    <n v="-243.05"/>
    <x v="5"/>
    <x v="0"/>
  </r>
  <r>
    <n v="1081"/>
    <x v="77"/>
    <d v="2025-05-18T00:00:00"/>
    <s v="C1096"/>
    <s v="Customer 38"/>
    <x v="2"/>
    <s v="Hyderabad"/>
    <s v="Telangana"/>
    <x v="2"/>
    <x v="2"/>
    <s v="Paper"/>
    <x v="80"/>
    <n v="84333.1"/>
    <n v="2"/>
    <n v="0"/>
    <n v="22053.31"/>
    <x v="6"/>
    <x v="1"/>
  </r>
  <r>
    <n v="1082"/>
    <x v="78"/>
    <d v="2024-03-02T00:00:00"/>
    <s v="C1219"/>
    <s v="Customer 273"/>
    <x v="2"/>
    <s v="Bhubaneswar"/>
    <s v="Odisha"/>
    <x v="3"/>
    <x v="1"/>
    <s v="Sofa"/>
    <x v="81"/>
    <n v="45758.18"/>
    <n v="10"/>
    <n v="0.2"/>
    <n v="9451.4599999999991"/>
    <x v="1"/>
    <x v="3"/>
  </r>
  <r>
    <n v="1083"/>
    <x v="79"/>
    <d v="2024-11-10T00:00:00"/>
    <s v="C1023"/>
    <s v="Customer 262"/>
    <x v="2"/>
    <s v="Lucknow"/>
    <s v="Uttar Pradesh"/>
    <x v="1"/>
    <x v="2"/>
    <s v="Paper"/>
    <x v="82"/>
    <n v="78532.259999999995"/>
    <n v="1"/>
    <n v="0.3"/>
    <n v="7168.41"/>
    <x v="4"/>
    <x v="2"/>
  </r>
  <r>
    <n v="1084"/>
    <x v="80"/>
    <d v="2024-05-31T00:00:00"/>
    <s v="C1053"/>
    <s v="Customer 22"/>
    <x v="0"/>
    <s v="Patna"/>
    <s v="Bihar"/>
    <x v="3"/>
    <x v="2"/>
    <s v="Storage"/>
    <x v="83"/>
    <n v="2876.59"/>
    <n v="10"/>
    <n v="0.05"/>
    <n v="316.13"/>
    <x v="4"/>
    <x v="2"/>
  </r>
  <r>
    <n v="1085"/>
    <x v="56"/>
    <d v="2025-04-11T00:00:00"/>
    <s v="C1160"/>
    <s v="Customer 20"/>
    <x v="2"/>
    <s v="Ahmedabad"/>
    <s v="Gujarat"/>
    <x v="0"/>
    <x v="0"/>
    <s v="Laptop"/>
    <x v="84"/>
    <n v="68676.38"/>
    <n v="5"/>
    <n v="0"/>
    <n v="9079.14"/>
    <x v="5"/>
    <x v="3"/>
  </r>
  <r>
    <n v="1086"/>
    <x v="81"/>
    <d v="2024-11-28T00:00:00"/>
    <s v="C1285"/>
    <s v="Customer 157"/>
    <x v="1"/>
    <s v="Bengaluru"/>
    <s v="Karnataka"/>
    <x v="2"/>
    <x v="2"/>
    <s v="Storage"/>
    <x v="85"/>
    <n v="66597.039999999994"/>
    <n v="9"/>
    <n v="0"/>
    <n v="16535.66"/>
    <x v="5"/>
    <x v="0"/>
  </r>
  <r>
    <n v="1087"/>
    <x v="82"/>
    <d v="2024-06-13T00:00:00"/>
    <s v="C1032"/>
    <s v="Customer 85"/>
    <x v="2"/>
    <s v="Patna"/>
    <s v="Bihar"/>
    <x v="3"/>
    <x v="2"/>
    <s v="Notebook"/>
    <x v="86"/>
    <n v="35045.72"/>
    <n v="1"/>
    <n v="0.15"/>
    <n v="2792.74"/>
    <x v="6"/>
    <x v="2"/>
  </r>
  <r>
    <n v="1088"/>
    <x v="83"/>
    <d v="2025-05-01T00:00:00"/>
    <s v="C1121"/>
    <s v="Customer 115"/>
    <x v="0"/>
    <s v="Jaipur"/>
    <s v="Rajasthan"/>
    <x v="1"/>
    <x v="1"/>
    <s v="Chair"/>
    <x v="87"/>
    <n v="45068.72"/>
    <n v="1"/>
    <n v="0"/>
    <n v="10598.38"/>
    <x v="5"/>
    <x v="0"/>
  </r>
  <r>
    <n v="1089"/>
    <x v="84"/>
    <d v="2025-12-26T00:00:00"/>
    <s v="C1207"/>
    <s v="Customer 287"/>
    <x v="0"/>
    <s v="Jaipur"/>
    <s v="Rajasthan"/>
    <x v="1"/>
    <x v="1"/>
    <s v="Bookcase"/>
    <x v="88"/>
    <n v="20365.080000000002"/>
    <n v="10"/>
    <n v="0.05"/>
    <n v="5114.59"/>
    <x v="2"/>
    <x v="1"/>
  </r>
  <r>
    <n v="1090"/>
    <x v="85"/>
    <d v="2025-10-02T00:00:00"/>
    <s v="C1078"/>
    <s v="Customer 12"/>
    <x v="2"/>
    <s v="Ahmedabad"/>
    <s v="Gujarat"/>
    <x v="0"/>
    <x v="1"/>
    <s v="Sofa"/>
    <x v="89"/>
    <n v="19391.189999999999"/>
    <n v="7"/>
    <n v="0.2"/>
    <n v="4100.43"/>
    <x v="3"/>
    <x v="1"/>
  </r>
  <r>
    <n v="1091"/>
    <x v="86"/>
    <d v="2025-05-05T00:00:00"/>
    <s v="C1134"/>
    <s v="Customer 158"/>
    <x v="2"/>
    <s v="Bhubaneswar"/>
    <s v="Odisha"/>
    <x v="3"/>
    <x v="2"/>
    <s v="Storage"/>
    <x v="90"/>
    <n v="29949.34"/>
    <n v="6"/>
    <n v="0.3"/>
    <n v="358.35"/>
    <x v="3"/>
    <x v="1"/>
  </r>
  <r>
    <n v="1092"/>
    <x v="87"/>
    <d v="2025-11-22T00:00:00"/>
    <s v="C1263"/>
    <s v="Customer 6"/>
    <x v="1"/>
    <s v="Mumbai"/>
    <s v="Maharashtra"/>
    <x v="0"/>
    <x v="1"/>
    <s v="Chair"/>
    <x v="91"/>
    <n v="76380.95"/>
    <n v="9"/>
    <n v="0.1"/>
    <n v="17342.240000000002"/>
    <x v="6"/>
    <x v="3"/>
  </r>
  <r>
    <n v="1093"/>
    <x v="88"/>
    <d v="2025-09-04T00:00:00"/>
    <s v="C1175"/>
    <s v="Customer 200"/>
    <x v="2"/>
    <s v="Jaipur"/>
    <s v="Rajasthan"/>
    <x v="1"/>
    <x v="2"/>
    <s v="Storage"/>
    <x v="92"/>
    <n v="80148.58"/>
    <n v="1"/>
    <n v="0.25"/>
    <n v="12295.33"/>
    <x v="0"/>
    <x v="3"/>
  </r>
  <r>
    <n v="1094"/>
    <x v="89"/>
    <d v="2024-02-28T00:00:00"/>
    <s v="C1196"/>
    <s v="Customer 134"/>
    <x v="1"/>
    <s v="Delhi"/>
    <s v="Delhi"/>
    <x v="1"/>
    <x v="2"/>
    <s v="Storage"/>
    <x v="93"/>
    <n v="34382.629999999997"/>
    <n v="8"/>
    <n v="0.15"/>
    <n v="7373.37"/>
    <x v="3"/>
    <x v="1"/>
  </r>
  <r>
    <n v="1095"/>
    <x v="90"/>
    <d v="2025-01-15T00:00:00"/>
    <s v="C1003"/>
    <s v="Customer 168"/>
    <x v="0"/>
    <s v="Lucknow"/>
    <s v="Uttar Pradesh"/>
    <x v="1"/>
    <x v="2"/>
    <s v="Pen"/>
    <x v="94"/>
    <n v="73143.22"/>
    <n v="7"/>
    <n v="0.2"/>
    <n v="13234.49"/>
    <x v="7"/>
    <x v="0"/>
  </r>
  <r>
    <n v="1096"/>
    <x v="91"/>
    <d v="2024-04-21T00:00:00"/>
    <s v="C1212"/>
    <s v="Customer 153"/>
    <x v="0"/>
    <s v="Bhubaneswar"/>
    <s v="Odisha"/>
    <x v="3"/>
    <x v="0"/>
    <s v="Monitor"/>
    <x v="95"/>
    <n v="24494.97"/>
    <n v="9"/>
    <n v="0.25"/>
    <n v="1926.49"/>
    <x v="5"/>
    <x v="2"/>
  </r>
  <r>
    <n v="1097"/>
    <x v="92"/>
    <d v="2025-07-12T00:00:00"/>
    <s v="C1195"/>
    <s v="Customer 238"/>
    <x v="1"/>
    <s v="Lucknow"/>
    <s v="Uttar Pradesh"/>
    <x v="1"/>
    <x v="1"/>
    <s v="Sofa"/>
    <x v="96"/>
    <n v="41655.550000000003"/>
    <n v="5"/>
    <n v="0.1"/>
    <n v="9352.7800000000007"/>
    <x v="5"/>
    <x v="0"/>
  </r>
  <r>
    <n v="1098"/>
    <x v="93"/>
    <d v="2025-05-26T00:00:00"/>
    <s v="C1017"/>
    <s v="Customer 206"/>
    <x v="1"/>
    <s v="Ahmedabad"/>
    <s v="Gujarat"/>
    <x v="0"/>
    <x v="1"/>
    <s v="Table"/>
    <x v="97"/>
    <n v="47929.37"/>
    <n v="5"/>
    <n v="0.2"/>
    <n v="2660.3"/>
    <x v="6"/>
    <x v="0"/>
  </r>
  <r>
    <n v="1099"/>
    <x v="94"/>
    <d v="2025-04-03T00:00:00"/>
    <s v="C1098"/>
    <s v="Customer 6"/>
    <x v="1"/>
    <s v="Kolkata"/>
    <s v="West Bengal"/>
    <x v="3"/>
    <x v="2"/>
    <s v="Notebook"/>
    <x v="98"/>
    <n v="79465.34"/>
    <n v="4"/>
    <n v="0.25"/>
    <n v="7291.4"/>
    <x v="2"/>
    <x v="3"/>
  </r>
  <r>
    <n v="1100"/>
    <x v="95"/>
    <d v="2024-11-24T00:00:00"/>
    <s v="C1292"/>
    <s v="Customer 295"/>
    <x v="1"/>
    <s v="Mumbai"/>
    <s v="Maharashtra"/>
    <x v="0"/>
    <x v="2"/>
    <s v="Pen"/>
    <x v="99"/>
    <n v="16326.25"/>
    <n v="3"/>
    <n v="0.25"/>
    <n v="2888.91"/>
    <x v="3"/>
    <x v="0"/>
  </r>
  <r>
    <n v="1101"/>
    <x v="96"/>
    <d v="2024-07-02T00:00:00"/>
    <s v="C1048"/>
    <s v="Customer 119"/>
    <x v="2"/>
    <s v="Hyderabad"/>
    <s v="Telangana"/>
    <x v="2"/>
    <x v="2"/>
    <s v="Storage"/>
    <x v="100"/>
    <n v="24823.22"/>
    <n v="5"/>
    <n v="0.1"/>
    <n v="1071.07"/>
    <x v="6"/>
    <x v="1"/>
  </r>
  <r>
    <n v="1102"/>
    <x v="62"/>
    <d v="2024-05-02T00:00:00"/>
    <s v="C1009"/>
    <s v="Customer 93"/>
    <x v="1"/>
    <s v="Bengaluru"/>
    <s v="Karnataka"/>
    <x v="2"/>
    <x v="1"/>
    <s v="Chair"/>
    <x v="101"/>
    <n v="85262.51"/>
    <n v="9"/>
    <n v="0.05"/>
    <n v="7200.26"/>
    <x v="7"/>
    <x v="0"/>
  </r>
  <r>
    <n v="1103"/>
    <x v="97"/>
    <d v="2024-10-06T00:00:00"/>
    <s v="C1084"/>
    <s v="Customer 168"/>
    <x v="1"/>
    <s v="Jaipur"/>
    <s v="Rajasthan"/>
    <x v="1"/>
    <x v="0"/>
    <s v="Laptop"/>
    <x v="102"/>
    <n v="8094.21"/>
    <n v="9"/>
    <n v="0.2"/>
    <n v="988.5"/>
    <x v="3"/>
    <x v="3"/>
  </r>
  <r>
    <n v="1104"/>
    <x v="98"/>
    <d v="2024-11-20T00:00:00"/>
    <s v="C1195"/>
    <s v="Customer 208"/>
    <x v="1"/>
    <s v="Bengaluru"/>
    <s v="Karnataka"/>
    <x v="2"/>
    <x v="0"/>
    <s v="Phone"/>
    <x v="103"/>
    <n v="1567.62"/>
    <n v="10"/>
    <n v="0.1"/>
    <n v="376.47"/>
    <x v="7"/>
    <x v="1"/>
  </r>
  <r>
    <n v="1105"/>
    <x v="99"/>
    <d v="2025-11-21T00:00:00"/>
    <s v="C1110"/>
    <s v="Customer 165"/>
    <x v="0"/>
    <s v="Bhubaneswar"/>
    <s v="Odisha"/>
    <x v="3"/>
    <x v="2"/>
    <s v="Storage"/>
    <x v="104"/>
    <n v="3635.11"/>
    <n v="3"/>
    <n v="0"/>
    <n v="500.92"/>
    <x v="4"/>
    <x v="1"/>
  </r>
  <r>
    <n v="1106"/>
    <x v="100"/>
    <d v="2025-12-15T00:00:00"/>
    <s v="C1228"/>
    <s v="Customer 130"/>
    <x v="1"/>
    <s v="Hyderabad"/>
    <s v="Telangana"/>
    <x v="2"/>
    <x v="1"/>
    <s v="Bookcase"/>
    <x v="105"/>
    <n v="69815.8"/>
    <n v="3"/>
    <n v="0.2"/>
    <n v="1614.47"/>
    <x v="3"/>
    <x v="3"/>
  </r>
  <r>
    <n v="1107"/>
    <x v="101"/>
    <d v="2025-07-28T00:00:00"/>
    <s v="C1170"/>
    <s v="Customer 205"/>
    <x v="1"/>
    <s v="Bengaluru"/>
    <s v="Karnataka"/>
    <x v="2"/>
    <x v="2"/>
    <s v="Storage"/>
    <x v="106"/>
    <n v="88901.45"/>
    <n v="1"/>
    <n v="0.2"/>
    <n v="9248.25"/>
    <x v="7"/>
    <x v="0"/>
  </r>
  <r>
    <n v="1108"/>
    <x v="102"/>
    <d v="2025-11-28T00:00:00"/>
    <s v="C1045"/>
    <s v="Customer 53"/>
    <x v="1"/>
    <s v="Jaipur"/>
    <s v="Rajasthan"/>
    <x v="1"/>
    <x v="2"/>
    <s v="Notebook"/>
    <x v="107"/>
    <n v="27949.77"/>
    <n v="6"/>
    <n v="0.15"/>
    <n v="1323.8"/>
    <x v="0"/>
    <x v="3"/>
  </r>
  <r>
    <n v="1109"/>
    <x v="103"/>
    <d v="2024-06-23T00:00:00"/>
    <s v="C1270"/>
    <s v="Customer 162"/>
    <x v="0"/>
    <s v="Delhi"/>
    <s v="Delhi"/>
    <x v="1"/>
    <x v="1"/>
    <s v="Sofa"/>
    <x v="108"/>
    <n v="86376.02"/>
    <n v="8"/>
    <n v="0.1"/>
    <n v="18442.48"/>
    <x v="0"/>
    <x v="0"/>
  </r>
  <r>
    <n v="1110"/>
    <x v="104"/>
    <d v="2024-05-30T00:00:00"/>
    <s v="C1105"/>
    <s v="Customer 128"/>
    <x v="0"/>
    <s v="Delhi"/>
    <s v="Delhi"/>
    <x v="1"/>
    <x v="2"/>
    <s v="Paper"/>
    <x v="109"/>
    <n v="48481.78"/>
    <n v="9"/>
    <n v="0.2"/>
    <n v="5336.4"/>
    <x v="7"/>
    <x v="3"/>
  </r>
  <r>
    <n v="1111"/>
    <x v="105"/>
    <d v="2024-06-25T00:00:00"/>
    <s v="C1001"/>
    <s v="Customer 92"/>
    <x v="1"/>
    <s v="Mumbai"/>
    <s v="Maharashtra"/>
    <x v="0"/>
    <x v="1"/>
    <s v="Bookcase"/>
    <x v="110"/>
    <n v="8287.69"/>
    <n v="1"/>
    <n v="0.25"/>
    <n v="1194.8"/>
    <x v="5"/>
    <x v="0"/>
  </r>
  <r>
    <n v="1112"/>
    <x v="106"/>
    <d v="2024-02-19T00:00:00"/>
    <s v="C1071"/>
    <s v="Customer 75"/>
    <x v="0"/>
    <s v="Delhi"/>
    <s v="Delhi"/>
    <x v="1"/>
    <x v="0"/>
    <s v="Phone"/>
    <x v="111"/>
    <n v="58749.74"/>
    <n v="7"/>
    <n v="0.15"/>
    <n v="9584.24"/>
    <x v="0"/>
    <x v="1"/>
  </r>
  <r>
    <n v="1113"/>
    <x v="107"/>
    <d v="2024-11-24T00:00:00"/>
    <s v="C1035"/>
    <s v="Customer 270"/>
    <x v="1"/>
    <s v="Patna"/>
    <s v="Bihar"/>
    <x v="3"/>
    <x v="0"/>
    <s v="Phone"/>
    <x v="112"/>
    <n v="30464.22"/>
    <n v="7"/>
    <n v="0"/>
    <n v="6168.94"/>
    <x v="1"/>
    <x v="0"/>
  </r>
  <r>
    <n v="1114"/>
    <x v="108"/>
    <d v="2025-06-27T00:00:00"/>
    <s v="C1202"/>
    <s v="Customer 43"/>
    <x v="0"/>
    <s v="Bengaluru"/>
    <s v="Karnataka"/>
    <x v="2"/>
    <x v="2"/>
    <s v="Storage"/>
    <x v="113"/>
    <n v="86703.64"/>
    <n v="7"/>
    <n v="0"/>
    <n v="24866.06"/>
    <x v="2"/>
    <x v="0"/>
  </r>
  <r>
    <n v="1115"/>
    <x v="109"/>
    <d v="2025-08-17T00:00:00"/>
    <s v="C1022"/>
    <s v="Customer 154"/>
    <x v="2"/>
    <s v="Hyderabad"/>
    <s v="Telangana"/>
    <x v="2"/>
    <x v="1"/>
    <s v="Sofa"/>
    <x v="114"/>
    <n v="31064.43"/>
    <n v="2"/>
    <n v="0.15"/>
    <n v="3847.93"/>
    <x v="5"/>
    <x v="0"/>
  </r>
  <r>
    <n v="1116"/>
    <x v="94"/>
    <d v="2025-04-01T00:00:00"/>
    <s v="C1132"/>
    <s v="Customer 217"/>
    <x v="0"/>
    <s v="Patna"/>
    <s v="Bihar"/>
    <x v="3"/>
    <x v="2"/>
    <s v="Notebook"/>
    <x v="115"/>
    <n v="76851.490000000005"/>
    <n v="4"/>
    <n v="0"/>
    <n v="15584.64"/>
    <x v="0"/>
    <x v="3"/>
  </r>
  <r>
    <n v="1117"/>
    <x v="110"/>
    <d v="2024-07-22T00:00:00"/>
    <s v="C1256"/>
    <s v="Customer 233"/>
    <x v="2"/>
    <s v="Bhubaneswar"/>
    <s v="Odisha"/>
    <x v="3"/>
    <x v="0"/>
    <s v="Keyboard"/>
    <x v="116"/>
    <n v="49302.1"/>
    <n v="8"/>
    <n v="0.2"/>
    <n v="7845.3"/>
    <x v="3"/>
    <x v="3"/>
  </r>
  <r>
    <n v="1118"/>
    <x v="111"/>
    <d v="2025-04-11T00:00:00"/>
    <s v="C1192"/>
    <s v="Customer 123"/>
    <x v="2"/>
    <s v="Ahmedabad"/>
    <s v="Gujarat"/>
    <x v="0"/>
    <x v="0"/>
    <s v="Mouse"/>
    <x v="117"/>
    <n v="10491.52"/>
    <n v="7"/>
    <n v="0.25"/>
    <n v="1320.51"/>
    <x v="0"/>
    <x v="1"/>
  </r>
  <r>
    <n v="1119"/>
    <x v="112"/>
    <d v="2025-02-13T00:00:00"/>
    <s v="C1280"/>
    <s v="Customer 142"/>
    <x v="0"/>
    <s v="Kolkata"/>
    <s v="West Bengal"/>
    <x v="3"/>
    <x v="2"/>
    <s v="Storage"/>
    <x v="118"/>
    <n v="36518.44"/>
    <n v="2"/>
    <n v="0.3"/>
    <n v="6047.97"/>
    <x v="1"/>
    <x v="3"/>
  </r>
  <r>
    <n v="1120"/>
    <x v="113"/>
    <d v="2024-10-29T00:00:00"/>
    <s v="C1036"/>
    <s v="Customer 255"/>
    <x v="2"/>
    <s v="Jaipur"/>
    <s v="Rajasthan"/>
    <x v="1"/>
    <x v="1"/>
    <s v="Bookcase"/>
    <x v="119"/>
    <n v="20969.48"/>
    <n v="8"/>
    <n v="0"/>
    <n v="4736.6499999999996"/>
    <x v="5"/>
    <x v="1"/>
  </r>
  <r>
    <n v="1121"/>
    <x v="114"/>
    <d v="2024-08-18T00:00:00"/>
    <s v="C1021"/>
    <s v="Customer 116"/>
    <x v="2"/>
    <s v="Pune"/>
    <s v="Maharashtra"/>
    <x v="0"/>
    <x v="1"/>
    <s v="Table"/>
    <x v="120"/>
    <n v="2942.36"/>
    <n v="10"/>
    <n v="0.2"/>
    <n v="108.02"/>
    <x v="7"/>
    <x v="3"/>
  </r>
  <r>
    <n v="1122"/>
    <x v="115"/>
    <d v="2024-05-19T00:00:00"/>
    <s v="C1273"/>
    <s v="Customer 132"/>
    <x v="0"/>
    <s v="Delhi"/>
    <s v="Delhi"/>
    <x v="1"/>
    <x v="1"/>
    <s v="Bookcase"/>
    <x v="121"/>
    <n v="55016.02"/>
    <n v="4"/>
    <n v="0.3"/>
    <n v="5023.8500000000004"/>
    <x v="3"/>
    <x v="1"/>
  </r>
  <r>
    <n v="1123"/>
    <x v="116"/>
    <d v="2025-05-25T00:00:00"/>
    <s v="C1094"/>
    <s v="Customer 291"/>
    <x v="1"/>
    <s v="Bengaluru"/>
    <s v="Karnataka"/>
    <x v="2"/>
    <x v="0"/>
    <s v="Phone"/>
    <x v="122"/>
    <n v="83714.12"/>
    <n v="9"/>
    <n v="0.15"/>
    <n v="5927.5"/>
    <x v="1"/>
    <x v="0"/>
  </r>
  <r>
    <n v="1124"/>
    <x v="95"/>
    <d v="2024-11-23T00:00:00"/>
    <s v="C1198"/>
    <s v="Customer 49"/>
    <x v="1"/>
    <s v="Ahmedabad"/>
    <s v="Gujarat"/>
    <x v="0"/>
    <x v="1"/>
    <s v="Sofa"/>
    <x v="123"/>
    <n v="3248.78"/>
    <n v="2"/>
    <n v="0"/>
    <n v="500.39"/>
    <x v="7"/>
    <x v="2"/>
  </r>
  <r>
    <n v="1125"/>
    <x v="117"/>
    <d v="2025-05-27T00:00:00"/>
    <s v="C1140"/>
    <s v="Customer 40"/>
    <x v="0"/>
    <s v="Mumbai"/>
    <s v="Maharashtra"/>
    <x v="0"/>
    <x v="1"/>
    <s v="Table"/>
    <x v="124"/>
    <n v="83103.59"/>
    <n v="9"/>
    <n v="0.15"/>
    <n v="4055.11"/>
    <x v="3"/>
    <x v="0"/>
  </r>
  <r>
    <n v="1126"/>
    <x v="118"/>
    <d v="2024-08-31T00:00:00"/>
    <s v="C1235"/>
    <s v="Customer 187"/>
    <x v="2"/>
    <s v="Bengaluru"/>
    <s v="Karnataka"/>
    <x v="2"/>
    <x v="2"/>
    <s v="Binder"/>
    <x v="125"/>
    <n v="47507.7"/>
    <n v="5"/>
    <n v="0"/>
    <n v="8638.0400000000009"/>
    <x v="0"/>
    <x v="3"/>
  </r>
  <r>
    <n v="1127"/>
    <x v="119"/>
    <d v="2025-07-16T00:00:00"/>
    <s v="C1115"/>
    <s v="Customer 297"/>
    <x v="0"/>
    <s v="Ahmedabad"/>
    <s v="Gujarat"/>
    <x v="0"/>
    <x v="0"/>
    <s v="Phone"/>
    <x v="126"/>
    <n v="77189.38"/>
    <n v="8"/>
    <n v="0.2"/>
    <n v="12767.9"/>
    <x v="6"/>
    <x v="2"/>
  </r>
  <r>
    <n v="1128"/>
    <x v="18"/>
    <d v="2024-05-08T00:00:00"/>
    <s v="C1069"/>
    <s v="Customer 124"/>
    <x v="1"/>
    <s v="Bhubaneswar"/>
    <s v="Odisha"/>
    <x v="3"/>
    <x v="2"/>
    <s v="Paper"/>
    <x v="127"/>
    <n v="60098.080000000002"/>
    <n v="9"/>
    <n v="0.15"/>
    <n v="5041.05"/>
    <x v="0"/>
    <x v="1"/>
  </r>
  <r>
    <n v="1129"/>
    <x v="120"/>
    <d v="2025-11-06T00:00:00"/>
    <s v="C1300"/>
    <s v="Customer 90"/>
    <x v="1"/>
    <s v="Kolkata"/>
    <s v="West Bengal"/>
    <x v="3"/>
    <x v="2"/>
    <s v="Notebook"/>
    <x v="128"/>
    <n v="80355.17"/>
    <n v="3"/>
    <n v="0.2"/>
    <n v="4412.0600000000004"/>
    <x v="1"/>
    <x v="2"/>
  </r>
  <r>
    <n v="1130"/>
    <x v="121"/>
    <d v="2025-04-12T00:00:00"/>
    <s v="C1247"/>
    <s v="Customer 174"/>
    <x v="0"/>
    <s v="Delhi"/>
    <s v="Delhi"/>
    <x v="1"/>
    <x v="2"/>
    <s v="Storage"/>
    <x v="129"/>
    <n v="48438.46"/>
    <n v="8"/>
    <n v="0.25"/>
    <n v="5145.12"/>
    <x v="4"/>
    <x v="3"/>
  </r>
  <r>
    <n v="1131"/>
    <x v="75"/>
    <d v="2025-03-18T00:00:00"/>
    <s v="C1127"/>
    <s v="Customer 44"/>
    <x v="1"/>
    <s v="Mumbai"/>
    <s v="Maharashtra"/>
    <x v="0"/>
    <x v="1"/>
    <s v="Table"/>
    <x v="130"/>
    <n v="20812.29"/>
    <n v="9"/>
    <n v="0.15"/>
    <n v="3197.6"/>
    <x v="4"/>
    <x v="3"/>
  </r>
  <r>
    <n v="1132"/>
    <x v="122"/>
    <d v="2024-06-03T00:00:00"/>
    <s v="C1101"/>
    <s v="Customer 53"/>
    <x v="1"/>
    <s v="Bengaluru"/>
    <s v="Karnataka"/>
    <x v="2"/>
    <x v="0"/>
    <s v="Mouse"/>
    <x v="131"/>
    <n v="36657.410000000003"/>
    <n v="9"/>
    <n v="0.1"/>
    <n v="7098.28"/>
    <x v="7"/>
    <x v="2"/>
  </r>
  <r>
    <n v="1133"/>
    <x v="123"/>
    <d v="2025-12-28T00:00:00"/>
    <s v="C1055"/>
    <s v="Customer 127"/>
    <x v="0"/>
    <s v="Ahmedabad"/>
    <s v="Gujarat"/>
    <x v="0"/>
    <x v="2"/>
    <s v="Paper"/>
    <x v="132"/>
    <n v="58791.519999999997"/>
    <n v="5"/>
    <n v="0.05"/>
    <n v="16274.97"/>
    <x v="7"/>
    <x v="0"/>
  </r>
  <r>
    <n v="1134"/>
    <x v="122"/>
    <d v="2024-06-03T00:00:00"/>
    <s v="C1156"/>
    <s v="Customer 28"/>
    <x v="2"/>
    <s v="Patna"/>
    <s v="Bihar"/>
    <x v="3"/>
    <x v="2"/>
    <s v="Binder"/>
    <x v="133"/>
    <n v="56617.75"/>
    <n v="1"/>
    <n v="0.2"/>
    <n v="11572.39"/>
    <x v="4"/>
    <x v="3"/>
  </r>
  <r>
    <n v="1135"/>
    <x v="124"/>
    <d v="2024-08-10T00:00:00"/>
    <s v="C1119"/>
    <s v="Customer 124"/>
    <x v="0"/>
    <s v="Delhi"/>
    <s v="Delhi"/>
    <x v="1"/>
    <x v="2"/>
    <s v="Storage"/>
    <x v="134"/>
    <n v="71183.81"/>
    <n v="6"/>
    <n v="0.15"/>
    <n v="8932.49"/>
    <x v="3"/>
    <x v="1"/>
  </r>
  <r>
    <n v="1136"/>
    <x v="79"/>
    <d v="2024-11-12T00:00:00"/>
    <s v="C1002"/>
    <s v="Customer 190"/>
    <x v="1"/>
    <s v="Chennai"/>
    <s v="Tamil Nadu"/>
    <x v="2"/>
    <x v="2"/>
    <s v="Notebook"/>
    <x v="135"/>
    <n v="22111.81"/>
    <n v="10"/>
    <n v="0.3"/>
    <n v="2668.33"/>
    <x v="4"/>
    <x v="2"/>
  </r>
  <r>
    <n v="1137"/>
    <x v="43"/>
    <d v="2025-11-11T00:00:00"/>
    <s v="C1017"/>
    <s v="Customer 271"/>
    <x v="1"/>
    <s v="Lucknow"/>
    <s v="Uttar Pradesh"/>
    <x v="1"/>
    <x v="1"/>
    <s v="Sofa"/>
    <x v="136"/>
    <n v="76256.36"/>
    <n v="2"/>
    <n v="0.2"/>
    <n v="10320.030000000001"/>
    <x v="7"/>
    <x v="2"/>
  </r>
  <r>
    <n v="1138"/>
    <x v="125"/>
    <d v="2024-08-05T00:00:00"/>
    <s v="C1192"/>
    <s v="Customer 154"/>
    <x v="2"/>
    <s v="Bengaluru"/>
    <s v="Karnataka"/>
    <x v="2"/>
    <x v="2"/>
    <s v="Paper"/>
    <x v="137"/>
    <n v="6061.18"/>
    <n v="6"/>
    <n v="0.1"/>
    <n v="1382.59"/>
    <x v="5"/>
    <x v="1"/>
  </r>
  <r>
    <n v="1139"/>
    <x v="126"/>
    <d v="2025-09-16T00:00:00"/>
    <s v="C1248"/>
    <s v="Customer 65"/>
    <x v="1"/>
    <s v="Lucknow"/>
    <s v="Uttar Pradesh"/>
    <x v="1"/>
    <x v="0"/>
    <s v="Keyboard"/>
    <x v="138"/>
    <n v="75354.929999999993"/>
    <n v="5"/>
    <n v="0.25"/>
    <n v="10177.51"/>
    <x v="4"/>
    <x v="2"/>
  </r>
  <r>
    <n v="1140"/>
    <x v="127"/>
    <d v="2024-12-28T00:00:00"/>
    <s v="C1086"/>
    <s v="Customer 268"/>
    <x v="2"/>
    <s v="Delhi"/>
    <s v="Delhi"/>
    <x v="1"/>
    <x v="1"/>
    <s v="Bookcase"/>
    <x v="139"/>
    <n v="58551.57"/>
    <n v="2"/>
    <n v="0.25"/>
    <n v="7863.87"/>
    <x v="0"/>
    <x v="0"/>
  </r>
  <r>
    <n v="1141"/>
    <x v="128"/>
    <d v="2024-10-17T00:00:00"/>
    <s v="C1064"/>
    <s v="Customer 280"/>
    <x v="2"/>
    <s v="Bhubaneswar"/>
    <s v="Odisha"/>
    <x v="3"/>
    <x v="1"/>
    <s v="Sofa"/>
    <x v="140"/>
    <n v="66856.86"/>
    <n v="4"/>
    <n v="0.1"/>
    <n v="12620.96"/>
    <x v="3"/>
    <x v="2"/>
  </r>
  <r>
    <n v="1142"/>
    <x v="129"/>
    <d v="2024-03-17T00:00:00"/>
    <s v="C1105"/>
    <s v="Customer 64"/>
    <x v="2"/>
    <s v="Chennai"/>
    <s v="Tamil Nadu"/>
    <x v="2"/>
    <x v="0"/>
    <s v="Laptop"/>
    <x v="141"/>
    <n v="28757.46"/>
    <n v="5"/>
    <n v="0.25"/>
    <n v="-296.23"/>
    <x v="0"/>
    <x v="0"/>
  </r>
  <r>
    <n v="1143"/>
    <x v="130"/>
    <d v="2025-04-06T00:00:00"/>
    <s v="C1133"/>
    <s v="Customer 219"/>
    <x v="0"/>
    <s v="Pune"/>
    <s v="Maharashtra"/>
    <x v="0"/>
    <x v="2"/>
    <s v="Storage"/>
    <x v="142"/>
    <n v="20597.38"/>
    <n v="8"/>
    <n v="0.25"/>
    <n v="2473.2199999999998"/>
    <x v="1"/>
    <x v="1"/>
  </r>
  <r>
    <n v="1144"/>
    <x v="131"/>
    <d v="2025-10-19T00:00:00"/>
    <s v="C1269"/>
    <s v="Customer 280"/>
    <x v="0"/>
    <s v="Mumbai"/>
    <s v="Maharashtra"/>
    <x v="0"/>
    <x v="1"/>
    <s v="Sofa"/>
    <x v="143"/>
    <n v="66245.789999999994"/>
    <n v="6"/>
    <n v="0.05"/>
    <n v="14319.67"/>
    <x v="4"/>
    <x v="1"/>
  </r>
  <r>
    <n v="1145"/>
    <x v="132"/>
    <d v="2024-03-23T00:00:00"/>
    <s v="C1273"/>
    <s v="Customer 265"/>
    <x v="2"/>
    <s v="Pune"/>
    <s v="Maharashtra"/>
    <x v="0"/>
    <x v="1"/>
    <s v="Table"/>
    <x v="144"/>
    <n v="8976.73"/>
    <n v="10"/>
    <n v="0.2"/>
    <n v="113.74"/>
    <x v="4"/>
    <x v="2"/>
  </r>
  <r>
    <n v="1146"/>
    <x v="133"/>
    <d v="2025-01-06T00:00:00"/>
    <s v="C1201"/>
    <s v="Customer 108"/>
    <x v="0"/>
    <s v="Hyderabad"/>
    <s v="Telangana"/>
    <x v="2"/>
    <x v="2"/>
    <s v="Storage"/>
    <x v="145"/>
    <n v="57573.27"/>
    <n v="3"/>
    <n v="0.3"/>
    <n v="-193.33"/>
    <x v="3"/>
    <x v="3"/>
  </r>
  <r>
    <n v="1147"/>
    <x v="72"/>
    <d v="2025-01-29T00:00:00"/>
    <s v="C1144"/>
    <s v="Customer 232"/>
    <x v="2"/>
    <s v="Chennai"/>
    <s v="Tamil Nadu"/>
    <x v="2"/>
    <x v="0"/>
    <s v="Laptop"/>
    <x v="146"/>
    <n v="74345.740000000005"/>
    <n v="5"/>
    <n v="0.2"/>
    <n v="915.57"/>
    <x v="7"/>
    <x v="0"/>
  </r>
  <r>
    <n v="1148"/>
    <x v="134"/>
    <d v="2025-11-24T00:00:00"/>
    <s v="C1174"/>
    <s v="Customer 285"/>
    <x v="0"/>
    <s v="Delhi"/>
    <s v="Delhi"/>
    <x v="1"/>
    <x v="0"/>
    <s v="Mouse"/>
    <x v="147"/>
    <n v="78492.160000000003"/>
    <n v="7"/>
    <n v="0.25"/>
    <n v="13518.4"/>
    <x v="6"/>
    <x v="3"/>
  </r>
  <r>
    <n v="1149"/>
    <x v="135"/>
    <d v="2024-12-20T00:00:00"/>
    <s v="C1199"/>
    <s v="Customer 152"/>
    <x v="0"/>
    <s v="Bengaluru"/>
    <s v="Karnataka"/>
    <x v="2"/>
    <x v="0"/>
    <s v="Phone"/>
    <x v="148"/>
    <n v="2321.25"/>
    <n v="7"/>
    <n v="0.1"/>
    <n v="195.4"/>
    <x v="0"/>
    <x v="3"/>
  </r>
  <r>
    <n v="1150"/>
    <x v="136"/>
    <d v="2025-09-14T00:00:00"/>
    <s v="C1034"/>
    <s v="Customer 56"/>
    <x v="2"/>
    <s v="Hyderabad"/>
    <s v="Telangana"/>
    <x v="2"/>
    <x v="0"/>
    <s v="Laptop"/>
    <x v="149"/>
    <n v="67478.05"/>
    <n v="3"/>
    <n v="0.15"/>
    <n v="14437.61"/>
    <x v="6"/>
    <x v="3"/>
  </r>
  <r>
    <n v="1151"/>
    <x v="137"/>
    <d v="2025-05-23T00:00:00"/>
    <s v="C1145"/>
    <s v="Customer 242"/>
    <x v="2"/>
    <s v="Chennai"/>
    <s v="Tamil Nadu"/>
    <x v="2"/>
    <x v="1"/>
    <s v="Bookcase"/>
    <x v="150"/>
    <n v="35947.870000000003"/>
    <n v="4"/>
    <n v="0.2"/>
    <n v="1144.1199999999999"/>
    <x v="1"/>
    <x v="3"/>
  </r>
  <r>
    <n v="1152"/>
    <x v="138"/>
    <d v="2024-05-10T00:00:00"/>
    <s v="C1285"/>
    <s v="Customer 286"/>
    <x v="0"/>
    <s v="Ahmedabad"/>
    <s v="Gujarat"/>
    <x v="0"/>
    <x v="1"/>
    <s v="Sofa"/>
    <x v="151"/>
    <n v="7332.35"/>
    <n v="7"/>
    <n v="0.15"/>
    <n v="887.36"/>
    <x v="2"/>
    <x v="0"/>
  </r>
  <r>
    <n v="1153"/>
    <x v="139"/>
    <d v="2025-11-19T00:00:00"/>
    <s v="C1276"/>
    <s v="Customer 194"/>
    <x v="1"/>
    <s v="Lucknow"/>
    <s v="Uttar Pradesh"/>
    <x v="1"/>
    <x v="1"/>
    <s v="Chair"/>
    <x v="152"/>
    <n v="38605.86"/>
    <n v="5"/>
    <n v="0.3"/>
    <n v="3902.4"/>
    <x v="4"/>
    <x v="1"/>
  </r>
  <r>
    <n v="1154"/>
    <x v="140"/>
    <d v="2025-10-21T00:00:00"/>
    <s v="C1246"/>
    <s v="Customer 176"/>
    <x v="2"/>
    <s v="Delhi"/>
    <s v="Delhi"/>
    <x v="1"/>
    <x v="0"/>
    <s v="Monitor"/>
    <x v="153"/>
    <n v="76906.58"/>
    <n v="7"/>
    <n v="0.15"/>
    <n v="17640.54"/>
    <x v="2"/>
    <x v="0"/>
  </r>
  <r>
    <n v="1155"/>
    <x v="131"/>
    <d v="2025-10-22T00:00:00"/>
    <s v="C1022"/>
    <s v="Customer 227"/>
    <x v="1"/>
    <s v="Pune"/>
    <s v="Maharashtra"/>
    <x v="0"/>
    <x v="0"/>
    <s v="Keyboard"/>
    <x v="154"/>
    <n v="49068.51"/>
    <n v="8"/>
    <n v="0.25"/>
    <n v="1208.9000000000001"/>
    <x v="3"/>
    <x v="2"/>
  </r>
  <r>
    <n v="1156"/>
    <x v="141"/>
    <d v="2024-08-24T00:00:00"/>
    <s v="C1082"/>
    <s v="Customer 235"/>
    <x v="1"/>
    <s v="Bhubaneswar"/>
    <s v="Odisha"/>
    <x v="3"/>
    <x v="1"/>
    <s v="Bookcase"/>
    <x v="155"/>
    <n v="56815.46"/>
    <n v="6"/>
    <n v="0.3"/>
    <n v="5291.29"/>
    <x v="3"/>
    <x v="3"/>
  </r>
  <r>
    <n v="1157"/>
    <x v="142"/>
    <d v="2024-06-24T00:00:00"/>
    <s v="C1027"/>
    <s v="Customer 211"/>
    <x v="1"/>
    <s v="Chennai"/>
    <s v="Tamil Nadu"/>
    <x v="2"/>
    <x v="2"/>
    <s v="Paper"/>
    <x v="156"/>
    <n v="47858.58"/>
    <n v="4"/>
    <n v="0.3"/>
    <n v="-1783.77"/>
    <x v="4"/>
    <x v="3"/>
  </r>
  <r>
    <n v="1158"/>
    <x v="143"/>
    <d v="2024-10-24T00:00:00"/>
    <s v="C1010"/>
    <s v="Customer 39"/>
    <x v="2"/>
    <s v="Mumbai"/>
    <s v="Maharashtra"/>
    <x v="0"/>
    <x v="2"/>
    <s v="Paper"/>
    <x v="157"/>
    <n v="8575.33"/>
    <n v="6"/>
    <n v="0.2"/>
    <n v="1762.45"/>
    <x v="1"/>
    <x v="1"/>
  </r>
  <r>
    <n v="1159"/>
    <x v="144"/>
    <d v="2024-11-28T00:00:00"/>
    <s v="C1256"/>
    <s v="Customer 198"/>
    <x v="0"/>
    <s v="Patna"/>
    <s v="Bihar"/>
    <x v="3"/>
    <x v="2"/>
    <s v="Storage"/>
    <x v="158"/>
    <n v="48052.2"/>
    <n v="1"/>
    <n v="0.05"/>
    <n v="12705.61"/>
    <x v="4"/>
    <x v="0"/>
  </r>
  <r>
    <n v="1160"/>
    <x v="145"/>
    <d v="2024-02-26T00:00:00"/>
    <s v="C1011"/>
    <s v="Customer 41"/>
    <x v="0"/>
    <s v="Delhi"/>
    <s v="Delhi"/>
    <x v="1"/>
    <x v="2"/>
    <s v="Paper"/>
    <x v="159"/>
    <n v="14837.1"/>
    <n v="9"/>
    <n v="0.1"/>
    <n v="3307.51"/>
    <x v="7"/>
    <x v="0"/>
  </r>
  <r>
    <n v="1161"/>
    <x v="146"/>
    <d v="2025-10-26T00:00:00"/>
    <s v="C1051"/>
    <s v="Customer 31"/>
    <x v="2"/>
    <s v="Bengaluru"/>
    <s v="Karnataka"/>
    <x v="2"/>
    <x v="0"/>
    <s v="Phone"/>
    <x v="160"/>
    <n v="85906.86"/>
    <n v="2"/>
    <n v="0"/>
    <n v="10593.13"/>
    <x v="4"/>
    <x v="0"/>
  </r>
  <r>
    <n v="1162"/>
    <x v="147"/>
    <d v="2025-11-28T00:00:00"/>
    <s v="C1220"/>
    <s v="Customer 278"/>
    <x v="1"/>
    <s v="Delhi"/>
    <s v="Delhi"/>
    <x v="1"/>
    <x v="2"/>
    <s v="Pen"/>
    <x v="161"/>
    <n v="11094.51"/>
    <n v="6"/>
    <n v="0.2"/>
    <n v="2328.6"/>
    <x v="4"/>
    <x v="2"/>
  </r>
  <r>
    <n v="1163"/>
    <x v="148"/>
    <d v="2025-09-11T00:00:00"/>
    <s v="C1262"/>
    <s v="Customer 62"/>
    <x v="0"/>
    <s v="Pune"/>
    <s v="Maharashtra"/>
    <x v="0"/>
    <x v="0"/>
    <s v="Phone"/>
    <x v="162"/>
    <n v="29369.58"/>
    <n v="7"/>
    <n v="0.15"/>
    <n v="4835.79"/>
    <x v="1"/>
    <x v="0"/>
  </r>
  <r>
    <n v="1164"/>
    <x v="149"/>
    <d v="2024-06-22T00:00:00"/>
    <s v="C1203"/>
    <s v="Customer 102"/>
    <x v="2"/>
    <s v="Jaipur"/>
    <s v="Rajasthan"/>
    <x v="1"/>
    <x v="2"/>
    <s v="Paper"/>
    <x v="163"/>
    <n v="47741.8"/>
    <n v="9"/>
    <n v="0.15"/>
    <n v="4104.05"/>
    <x v="4"/>
    <x v="2"/>
  </r>
  <r>
    <n v="1165"/>
    <x v="150"/>
    <d v="2025-10-12T00:00:00"/>
    <s v="C1255"/>
    <s v="Customer 71"/>
    <x v="0"/>
    <s v="Lucknow"/>
    <s v="Uttar Pradesh"/>
    <x v="1"/>
    <x v="0"/>
    <s v="Keyboard"/>
    <x v="164"/>
    <n v="60265.05"/>
    <n v="2"/>
    <n v="0.05"/>
    <n v="13826.54"/>
    <x v="2"/>
    <x v="2"/>
  </r>
  <r>
    <n v="1166"/>
    <x v="120"/>
    <d v="2025-11-03T00:00:00"/>
    <s v="C1120"/>
    <s v="Customer 267"/>
    <x v="1"/>
    <s v="Ahmedabad"/>
    <s v="Gujarat"/>
    <x v="0"/>
    <x v="1"/>
    <s v="Bookcase"/>
    <x v="165"/>
    <n v="48374.29"/>
    <n v="9"/>
    <n v="0"/>
    <n v="7650.65"/>
    <x v="4"/>
    <x v="1"/>
  </r>
  <r>
    <n v="1167"/>
    <x v="18"/>
    <d v="2024-05-06T00:00:00"/>
    <s v="C1125"/>
    <s v="Customer 217"/>
    <x v="0"/>
    <s v="Chennai"/>
    <s v="Tamil Nadu"/>
    <x v="2"/>
    <x v="1"/>
    <s v="Chair"/>
    <x v="166"/>
    <n v="23716.11"/>
    <n v="5"/>
    <n v="0"/>
    <n v="4325.82"/>
    <x v="7"/>
    <x v="1"/>
  </r>
  <r>
    <n v="1168"/>
    <x v="151"/>
    <d v="2024-05-21T00:00:00"/>
    <s v="C1112"/>
    <s v="Customer 80"/>
    <x v="0"/>
    <s v="Pune"/>
    <s v="Maharashtra"/>
    <x v="0"/>
    <x v="0"/>
    <s v="Mouse"/>
    <x v="167"/>
    <n v="8443.32"/>
    <n v="7"/>
    <n v="0"/>
    <n v="1172.3599999999999"/>
    <x v="7"/>
    <x v="0"/>
  </r>
  <r>
    <n v="1169"/>
    <x v="152"/>
    <d v="2025-11-21T00:00:00"/>
    <s v="C1003"/>
    <s v="Customer 210"/>
    <x v="1"/>
    <s v="Bengaluru"/>
    <s v="Karnataka"/>
    <x v="2"/>
    <x v="1"/>
    <s v="Chair"/>
    <x v="168"/>
    <n v="72313.77"/>
    <n v="6"/>
    <n v="0"/>
    <n v="19426.14"/>
    <x v="2"/>
    <x v="2"/>
  </r>
  <r>
    <n v="1170"/>
    <x v="153"/>
    <d v="2025-09-10T00:00:00"/>
    <s v="C1107"/>
    <s v="Customer 8"/>
    <x v="0"/>
    <s v="Kolkata"/>
    <s v="West Bengal"/>
    <x v="3"/>
    <x v="1"/>
    <s v="Table"/>
    <x v="169"/>
    <n v="75940.58"/>
    <n v="4"/>
    <n v="0.25"/>
    <n v="7746.73"/>
    <x v="0"/>
    <x v="0"/>
  </r>
  <r>
    <n v="1171"/>
    <x v="154"/>
    <d v="2024-06-20T00:00:00"/>
    <s v="C1186"/>
    <s v="Customer 100"/>
    <x v="1"/>
    <s v="Ahmedabad"/>
    <s v="Gujarat"/>
    <x v="0"/>
    <x v="2"/>
    <s v="Binder"/>
    <x v="170"/>
    <n v="70895.740000000005"/>
    <n v="7"/>
    <n v="0.1"/>
    <n v="15298.87"/>
    <x v="3"/>
    <x v="1"/>
  </r>
  <r>
    <n v="1172"/>
    <x v="155"/>
    <d v="2025-08-30T00:00:00"/>
    <s v="C1060"/>
    <s v="Customer 91"/>
    <x v="1"/>
    <s v="Delhi"/>
    <s v="Delhi"/>
    <x v="1"/>
    <x v="1"/>
    <s v="Table"/>
    <x v="171"/>
    <n v="82985.2"/>
    <n v="6"/>
    <n v="0.1"/>
    <n v="9530.94"/>
    <x v="0"/>
    <x v="3"/>
  </r>
  <r>
    <n v="1173"/>
    <x v="156"/>
    <d v="2025-06-22T00:00:00"/>
    <s v="C1292"/>
    <s v="Customer 280"/>
    <x v="2"/>
    <s v="Jaipur"/>
    <s v="Rajasthan"/>
    <x v="1"/>
    <x v="2"/>
    <s v="Pen"/>
    <x v="172"/>
    <n v="17835.8"/>
    <n v="7"/>
    <n v="0.2"/>
    <n v="529.13"/>
    <x v="6"/>
    <x v="3"/>
  </r>
  <r>
    <n v="1174"/>
    <x v="157"/>
    <d v="2025-07-28T00:00:00"/>
    <s v="C1110"/>
    <s v="Customer 191"/>
    <x v="2"/>
    <s v="Jaipur"/>
    <s v="Rajasthan"/>
    <x v="1"/>
    <x v="1"/>
    <s v="Table"/>
    <x v="173"/>
    <n v="87961.7"/>
    <n v="7"/>
    <n v="0.3"/>
    <n v="6922.2"/>
    <x v="2"/>
    <x v="1"/>
  </r>
  <r>
    <n v="1175"/>
    <x v="158"/>
    <d v="2025-05-10T00:00:00"/>
    <s v="C1209"/>
    <s v="Customer 127"/>
    <x v="1"/>
    <s v="Hyderabad"/>
    <s v="Telangana"/>
    <x v="2"/>
    <x v="1"/>
    <s v="Sofa"/>
    <x v="174"/>
    <n v="66165.64"/>
    <n v="3"/>
    <n v="0.2"/>
    <n v="1277.08"/>
    <x v="1"/>
    <x v="0"/>
  </r>
  <r>
    <n v="1176"/>
    <x v="85"/>
    <d v="2025-10-02T00:00:00"/>
    <s v="C1125"/>
    <s v="Customer 288"/>
    <x v="1"/>
    <s v="Kolkata"/>
    <s v="West Bengal"/>
    <x v="3"/>
    <x v="1"/>
    <s v="Chair"/>
    <x v="175"/>
    <n v="20550.939999999999"/>
    <n v="7"/>
    <n v="0"/>
    <n v="5184.76"/>
    <x v="3"/>
    <x v="3"/>
  </r>
  <r>
    <n v="1177"/>
    <x v="159"/>
    <d v="2024-11-29T00:00:00"/>
    <s v="C1293"/>
    <s v="Customer 132"/>
    <x v="0"/>
    <s v="Bengaluru"/>
    <s v="Karnataka"/>
    <x v="2"/>
    <x v="2"/>
    <s v="Storage"/>
    <x v="176"/>
    <n v="89405.31"/>
    <n v="8"/>
    <n v="0.1"/>
    <n v="11698.92"/>
    <x v="5"/>
    <x v="3"/>
  </r>
  <r>
    <n v="1178"/>
    <x v="160"/>
    <d v="2025-08-14T00:00:00"/>
    <s v="C1133"/>
    <s v="Customer 291"/>
    <x v="2"/>
    <s v="Bhubaneswar"/>
    <s v="Odisha"/>
    <x v="3"/>
    <x v="1"/>
    <s v="Table"/>
    <x v="177"/>
    <n v="87938.1"/>
    <n v="2"/>
    <n v="0.05"/>
    <n v="18609.169999999998"/>
    <x v="4"/>
    <x v="1"/>
  </r>
  <r>
    <n v="1179"/>
    <x v="65"/>
    <d v="2024-12-20T00:00:00"/>
    <s v="C1164"/>
    <s v="Customer 62"/>
    <x v="1"/>
    <s v="Patna"/>
    <s v="Bihar"/>
    <x v="3"/>
    <x v="1"/>
    <s v="Table"/>
    <x v="178"/>
    <n v="61373.919999999998"/>
    <n v="7"/>
    <n v="0.05"/>
    <n v="7882.17"/>
    <x v="1"/>
    <x v="0"/>
  </r>
  <r>
    <n v="1180"/>
    <x v="126"/>
    <d v="2025-09-19T00:00:00"/>
    <s v="C1094"/>
    <s v="Customer 53"/>
    <x v="0"/>
    <s v="Ahmedabad"/>
    <s v="Gujarat"/>
    <x v="0"/>
    <x v="0"/>
    <s v="Monitor"/>
    <x v="179"/>
    <n v="26182.51"/>
    <n v="9"/>
    <n v="0.2"/>
    <n v="4206.1000000000004"/>
    <x v="1"/>
    <x v="1"/>
  </r>
  <r>
    <n v="1181"/>
    <x v="161"/>
    <d v="2024-06-25T00:00:00"/>
    <s v="C1128"/>
    <s v="Customer 213"/>
    <x v="2"/>
    <s v="Bengaluru"/>
    <s v="Karnataka"/>
    <x v="2"/>
    <x v="0"/>
    <s v="Keyboard"/>
    <x v="180"/>
    <n v="13468.04"/>
    <n v="4"/>
    <n v="0.05"/>
    <n v="2805.75"/>
    <x v="6"/>
    <x v="0"/>
  </r>
  <r>
    <n v="1182"/>
    <x v="162"/>
    <d v="2024-02-24T00:00:00"/>
    <s v="C1166"/>
    <s v="Customer 200"/>
    <x v="2"/>
    <s v="Mumbai"/>
    <s v="Maharashtra"/>
    <x v="0"/>
    <x v="2"/>
    <s v="Pen"/>
    <x v="181"/>
    <n v="84043.7"/>
    <n v="2"/>
    <n v="0"/>
    <n v="10694.06"/>
    <x v="4"/>
    <x v="0"/>
  </r>
  <r>
    <n v="1183"/>
    <x v="163"/>
    <d v="2025-01-27T00:00:00"/>
    <s v="C1091"/>
    <s v="Customer 247"/>
    <x v="1"/>
    <s v="Bhubaneswar"/>
    <s v="Odisha"/>
    <x v="3"/>
    <x v="2"/>
    <s v="Notebook"/>
    <x v="182"/>
    <n v="33028.92"/>
    <n v="4"/>
    <n v="0"/>
    <n v="8471.7900000000009"/>
    <x v="7"/>
    <x v="2"/>
  </r>
  <r>
    <n v="1184"/>
    <x v="164"/>
    <d v="2024-03-01T00:00:00"/>
    <s v="C1129"/>
    <s v="Customer 129"/>
    <x v="0"/>
    <s v="Bhubaneswar"/>
    <s v="Odisha"/>
    <x v="3"/>
    <x v="2"/>
    <s v="Binder"/>
    <x v="183"/>
    <n v="9806.77"/>
    <n v="3"/>
    <n v="0.15"/>
    <n v="1788.64"/>
    <x v="0"/>
    <x v="1"/>
  </r>
  <r>
    <n v="1185"/>
    <x v="165"/>
    <d v="2024-10-01T00:00:00"/>
    <s v="C1092"/>
    <s v="Customer 73"/>
    <x v="1"/>
    <s v="Bhubaneswar"/>
    <s v="Odisha"/>
    <x v="3"/>
    <x v="2"/>
    <s v="Binder"/>
    <x v="184"/>
    <n v="30599.279999999999"/>
    <n v="7"/>
    <n v="0.2"/>
    <n v="250.87"/>
    <x v="3"/>
    <x v="2"/>
  </r>
  <r>
    <n v="1186"/>
    <x v="166"/>
    <d v="2025-01-24T00:00:00"/>
    <s v="C1145"/>
    <s v="Customer 226"/>
    <x v="0"/>
    <s v="Pune"/>
    <s v="Maharashtra"/>
    <x v="0"/>
    <x v="2"/>
    <s v="Notebook"/>
    <x v="185"/>
    <n v="4771.99"/>
    <n v="1"/>
    <n v="0.05"/>
    <n v="949.92"/>
    <x v="5"/>
    <x v="0"/>
  </r>
  <r>
    <n v="1187"/>
    <x v="156"/>
    <d v="2025-06-24T00:00:00"/>
    <s v="C1280"/>
    <s v="Customer 130"/>
    <x v="1"/>
    <s v="Mumbai"/>
    <s v="Maharashtra"/>
    <x v="0"/>
    <x v="0"/>
    <s v="Phone"/>
    <x v="186"/>
    <n v="71813.289999999994"/>
    <n v="6"/>
    <n v="0"/>
    <n v="11696.42"/>
    <x v="0"/>
    <x v="1"/>
  </r>
  <r>
    <n v="1188"/>
    <x v="167"/>
    <d v="2025-05-06T00:00:00"/>
    <s v="C1181"/>
    <s v="Customer 194"/>
    <x v="1"/>
    <s v="Bhubaneswar"/>
    <s v="Odisha"/>
    <x v="3"/>
    <x v="0"/>
    <s v="Monitor"/>
    <x v="187"/>
    <n v="35326.120000000003"/>
    <n v="4"/>
    <n v="0"/>
    <n v="4207.1400000000003"/>
    <x v="4"/>
    <x v="1"/>
  </r>
  <r>
    <n v="1189"/>
    <x v="168"/>
    <d v="2024-11-30T00:00:00"/>
    <s v="C1184"/>
    <s v="Customer 261"/>
    <x v="1"/>
    <s v="Jaipur"/>
    <s v="Rajasthan"/>
    <x v="1"/>
    <x v="2"/>
    <s v="Binder"/>
    <x v="188"/>
    <n v="83151.27"/>
    <n v="9"/>
    <n v="0.15"/>
    <n v="6970.5"/>
    <x v="1"/>
    <x v="0"/>
  </r>
  <r>
    <n v="1190"/>
    <x v="169"/>
    <d v="2024-12-11T00:00:00"/>
    <s v="C1091"/>
    <s v="Customer 41"/>
    <x v="0"/>
    <s v="Patna"/>
    <s v="Bihar"/>
    <x v="3"/>
    <x v="0"/>
    <s v="Keyboard"/>
    <x v="189"/>
    <n v="79869.539999999994"/>
    <n v="2"/>
    <n v="0.1"/>
    <n v="10572.01"/>
    <x v="7"/>
    <x v="1"/>
  </r>
  <r>
    <n v="1191"/>
    <x v="170"/>
    <d v="2025-03-12T00:00:00"/>
    <s v="C1047"/>
    <s v="Customer 178"/>
    <x v="1"/>
    <s v="Ahmedabad"/>
    <s v="Gujarat"/>
    <x v="0"/>
    <x v="0"/>
    <s v="Mouse"/>
    <x v="190"/>
    <n v="65404.32"/>
    <n v="8"/>
    <n v="0.25"/>
    <n v="6870.65"/>
    <x v="1"/>
    <x v="0"/>
  </r>
  <r>
    <n v="1192"/>
    <x v="91"/>
    <d v="2024-04-18T00:00:00"/>
    <s v="C1294"/>
    <s v="Customer 203"/>
    <x v="1"/>
    <s v="Jaipur"/>
    <s v="Rajasthan"/>
    <x v="1"/>
    <x v="1"/>
    <s v="Chair"/>
    <x v="191"/>
    <n v="31173.7"/>
    <n v="9"/>
    <n v="0.25"/>
    <n v="1955.11"/>
    <x v="5"/>
    <x v="3"/>
  </r>
  <r>
    <n v="1193"/>
    <x v="89"/>
    <d v="2024-02-27T00:00:00"/>
    <s v="C1228"/>
    <s v="Customer 60"/>
    <x v="0"/>
    <s v="Chennai"/>
    <s v="Tamil Nadu"/>
    <x v="2"/>
    <x v="1"/>
    <s v="Chair"/>
    <x v="192"/>
    <n v="89588.86"/>
    <n v="1"/>
    <n v="0.15"/>
    <n v="5143.8599999999997"/>
    <x v="1"/>
    <x v="3"/>
  </r>
  <r>
    <n v="1194"/>
    <x v="168"/>
    <d v="2024-12-01T00:00:00"/>
    <s v="C1271"/>
    <s v="Customer 143"/>
    <x v="2"/>
    <s v="Chennai"/>
    <s v="Tamil Nadu"/>
    <x v="2"/>
    <x v="1"/>
    <s v="Chair"/>
    <x v="193"/>
    <n v="72406.880000000005"/>
    <n v="9"/>
    <n v="0.3"/>
    <n v="-1085.23"/>
    <x v="5"/>
    <x v="3"/>
  </r>
  <r>
    <n v="1195"/>
    <x v="4"/>
    <d v="2024-07-21T00:00:00"/>
    <s v="C1282"/>
    <s v="Customer 56"/>
    <x v="1"/>
    <s v="Hyderabad"/>
    <s v="Telangana"/>
    <x v="2"/>
    <x v="1"/>
    <s v="Bookcase"/>
    <x v="194"/>
    <n v="25140.13"/>
    <n v="5"/>
    <n v="0.25"/>
    <n v="4483.3999999999996"/>
    <x v="5"/>
    <x v="0"/>
  </r>
  <r>
    <n v="1196"/>
    <x v="75"/>
    <d v="2025-03-15T00:00:00"/>
    <s v="C1145"/>
    <s v="Customer 224"/>
    <x v="0"/>
    <s v="Jaipur"/>
    <s v="Rajasthan"/>
    <x v="1"/>
    <x v="1"/>
    <s v="Sofa"/>
    <x v="195"/>
    <n v="53254.09"/>
    <n v="8"/>
    <n v="0"/>
    <n v="8036.57"/>
    <x v="0"/>
    <x v="1"/>
  </r>
  <r>
    <n v="1197"/>
    <x v="171"/>
    <d v="2024-12-30T00:00:00"/>
    <s v="C1189"/>
    <s v="Customer 94"/>
    <x v="0"/>
    <s v="Lucknow"/>
    <s v="Uttar Pradesh"/>
    <x v="1"/>
    <x v="0"/>
    <s v="Monitor"/>
    <x v="196"/>
    <n v="3919.08"/>
    <n v="4"/>
    <n v="0"/>
    <n v="1037.29"/>
    <x v="3"/>
    <x v="3"/>
  </r>
  <r>
    <n v="1198"/>
    <x v="172"/>
    <d v="2025-11-14T00:00:00"/>
    <s v="C1008"/>
    <s v="Customer 133"/>
    <x v="1"/>
    <s v="Chennai"/>
    <s v="Tamil Nadu"/>
    <x v="2"/>
    <x v="1"/>
    <s v="Table"/>
    <x v="197"/>
    <n v="79397.56"/>
    <n v="10"/>
    <n v="0.2"/>
    <n v="16340.18"/>
    <x v="0"/>
    <x v="0"/>
  </r>
  <r>
    <n v="1199"/>
    <x v="173"/>
    <d v="2024-09-12T00:00:00"/>
    <s v="C1126"/>
    <s v="Customer 47"/>
    <x v="1"/>
    <s v="Delhi"/>
    <s v="Delhi"/>
    <x v="1"/>
    <x v="1"/>
    <s v="Bookcase"/>
    <x v="198"/>
    <n v="43742.16"/>
    <n v="2"/>
    <n v="0.15"/>
    <n v="2630.04"/>
    <x v="2"/>
    <x v="0"/>
  </r>
  <r>
    <n v="1200"/>
    <x v="174"/>
    <d v="2025-09-27T00:00:00"/>
    <s v="C1264"/>
    <s v="Customer 187"/>
    <x v="1"/>
    <s v="Bengaluru"/>
    <s v="Karnataka"/>
    <x v="2"/>
    <x v="2"/>
    <s v="Pen"/>
    <x v="199"/>
    <n v="58545.65"/>
    <n v="8"/>
    <n v="0.15"/>
    <n v="4740.71"/>
    <x v="7"/>
    <x v="1"/>
  </r>
  <r>
    <n v="1201"/>
    <x v="175"/>
    <d v="2025-02-13T00:00:00"/>
    <s v="C1277"/>
    <s v="Customer 91"/>
    <x v="0"/>
    <s v="Patna"/>
    <s v="Bihar"/>
    <x v="3"/>
    <x v="0"/>
    <s v="Monitor"/>
    <x v="200"/>
    <n v="76613.69"/>
    <n v="2"/>
    <n v="0.1"/>
    <n v="17466.21"/>
    <x v="3"/>
    <x v="1"/>
  </r>
  <r>
    <n v="1202"/>
    <x v="106"/>
    <d v="2024-02-19T00:00:00"/>
    <s v="C1211"/>
    <s v="Customer 4"/>
    <x v="1"/>
    <s v="Jaipur"/>
    <s v="Rajasthan"/>
    <x v="1"/>
    <x v="1"/>
    <s v="Bookcase"/>
    <x v="201"/>
    <n v="72305.7"/>
    <n v="10"/>
    <n v="0.3"/>
    <n v="12652.1"/>
    <x v="3"/>
    <x v="3"/>
  </r>
  <r>
    <n v="1203"/>
    <x v="176"/>
    <d v="2025-10-12T00:00:00"/>
    <s v="C1241"/>
    <s v="Customer 175"/>
    <x v="1"/>
    <s v="Hyderabad"/>
    <s v="Telangana"/>
    <x v="2"/>
    <x v="0"/>
    <s v="Monitor"/>
    <x v="202"/>
    <n v="40113.199999999997"/>
    <n v="2"/>
    <n v="0"/>
    <n v="5068.1400000000003"/>
    <x v="2"/>
    <x v="3"/>
  </r>
  <r>
    <n v="1204"/>
    <x v="177"/>
    <d v="2024-01-11T00:00:00"/>
    <s v="C1282"/>
    <s v="Customer 129"/>
    <x v="1"/>
    <s v="Hyderabad"/>
    <s v="Telangana"/>
    <x v="2"/>
    <x v="1"/>
    <s v="Bookcase"/>
    <x v="203"/>
    <n v="75103.64"/>
    <n v="9"/>
    <n v="0.05"/>
    <n v="8605.81"/>
    <x v="3"/>
    <x v="3"/>
  </r>
  <r>
    <n v="1205"/>
    <x v="178"/>
    <d v="2025-06-19T00:00:00"/>
    <s v="C1052"/>
    <s v="Customer 298"/>
    <x v="2"/>
    <s v="Kolkata"/>
    <s v="West Bengal"/>
    <x v="3"/>
    <x v="1"/>
    <s v="Chair"/>
    <x v="204"/>
    <n v="9691.1299999999992"/>
    <n v="3"/>
    <n v="0.3"/>
    <n v="1540.93"/>
    <x v="5"/>
    <x v="3"/>
  </r>
  <r>
    <n v="1206"/>
    <x v="179"/>
    <d v="2025-07-13T00:00:00"/>
    <s v="C1020"/>
    <s v="Customer 61"/>
    <x v="2"/>
    <s v="Ahmedabad"/>
    <s v="Gujarat"/>
    <x v="0"/>
    <x v="1"/>
    <s v="Sofa"/>
    <x v="205"/>
    <n v="52868.7"/>
    <n v="10"/>
    <n v="0.2"/>
    <n v="6746.13"/>
    <x v="4"/>
    <x v="1"/>
  </r>
  <r>
    <n v="1207"/>
    <x v="180"/>
    <d v="2025-06-05T00:00:00"/>
    <s v="C1253"/>
    <s v="Customer 175"/>
    <x v="2"/>
    <s v="Pune"/>
    <s v="Maharashtra"/>
    <x v="0"/>
    <x v="0"/>
    <s v="Mouse"/>
    <x v="206"/>
    <n v="17621.900000000001"/>
    <n v="8"/>
    <n v="0.15"/>
    <n v="3702.94"/>
    <x v="0"/>
    <x v="3"/>
  </r>
  <r>
    <n v="1208"/>
    <x v="181"/>
    <d v="2024-06-10T00:00:00"/>
    <s v="C1061"/>
    <s v="Customer 79"/>
    <x v="1"/>
    <s v="Bhubaneswar"/>
    <s v="Odisha"/>
    <x v="3"/>
    <x v="2"/>
    <s v="Storage"/>
    <x v="207"/>
    <n v="8503.17"/>
    <n v="2"/>
    <n v="0.3"/>
    <n v="701.51"/>
    <x v="6"/>
    <x v="3"/>
  </r>
  <r>
    <n v="1209"/>
    <x v="182"/>
    <d v="2025-08-09T00:00:00"/>
    <s v="C1258"/>
    <s v="Customer 273"/>
    <x v="1"/>
    <s v="Kolkata"/>
    <s v="West Bengal"/>
    <x v="3"/>
    <x v="0"/>
    <s v="Monitor"/>
    <x v="208"/>
    <n v="44693.67"/>
    <n v="5"/>
    <n v="0.15"/>
    <n v="7889.77"/>
    <x v="3"/>
    <x v="1"/>
  </r>
  <r>
    <n v="1210"/>
    <x v="183"/>
    <d v="2024-05-27T00:00:00"/>
    <s v="C1282"/>
    <s v="Customer 68"/>
    <x v="2"/>
    <s v="Patna"/>
    <s v="Bihar"/>
    <x v="3"/>
    <x v="2"/>
    <s v="Binder"/>
    <x v="209"/>
    <n v="80325.23"/>
    <n v="4"/>
    <n v="0"/>
    <n v="22471.55"/>
    <x v="2"/>
    <x v="0"/>
  </r>
  <r>
    <n v="1211"/>
    <x v="173"/>
    <d v="2024-09-12T00:00:00"/>
    <s v="C1133"/>
    <s v="Customer 118"/>
    <x v="1"/>
    <s v="Lucknow"/>
    <s v="Uttar Pradesh"/>
    <x v="1"/>
    <x v="1"/>
    <s v="Table"/>
    <x v="210"/>
    <n v="3001.96"/>
    <n v="3"/>
    <n v="0"/>
    <n v="770.97"/>
    <x v="4"/>
    <x v="0"/>
  </r>
  <r>
    <n v="1212"/>
    <x v="184"/>
    <d v="2025-07-01T00:00:00"/>
    <s v="C1286"/>
    <s v="Customer 215"/>
    <x v="0"/>
    <s v="Jaipur"/>
    <s v="Rajasthan"/>
    <x v="1"/>
    <x v="2"/>
    <s v="Pen"/>
    <x v="211"/>
    <n v="15032.87"/>
    <n v="8"/>
    <n v="0"/>
    <n v="4225.55"/>
    <x v="1"/>
    <x v="3"/>
  </r>
  <r>
    <n v="1213"/>
    <x v="185"/>
    <d v="2025-08-15T00:00:00"/>
    <s v="C1248"/>
    <s v="Customer 104"/>
    <x v="2"/>
    <s v="Chennai"/>
    <s v="Tamil Nadu"/>
    <x v="2"/>
    <x v="0"/>
    <s v="Monitor"/>
    <x v="212"/>
    <n v="4350.05"/>
    <n v="4"/>
    <n v="0.25"/>
    <n v="716.88"/>
    <x v="1"/>
    <x v="0"/>
  </r>
  <r>
    <n v="1214"/>
    <x v="186"/>
    <d v="2024-03-13T00:00:00"/>
    <s v="C1209"/>
    <s v="Customer 121"/>
    <x v="1"/>
    <s v="Bengaluru"/>
    <s v="Karnataka"/>
    <x v="2"/>
    <x v="0"/>
    <s v="Mouse"/>
    <x v="213"/>
    <n v="43688.800000000003"/>
    <n v="8"/>
    <n v="0.15"/>
    <n v="6837.81"/>
    <x v="7"/>
    <x v="2"/>
  </r>
  <r>
    <n v="1215"/>
    <x v="187"/>
    <d v="2025-03-12T00:00:00"/>
    <s v="C1248"/>
    <s v="Customer 262"/>
    <x v="2"/>
    <s v="Bengaluru"/>
    <s v="Karnataka"/>
    <x v="2"/>
    <x v="0"/>
    <s v="Keyboard"/>
    <x v="214"/>
    <n v="71296.899999999994"/>
    <n v="6"/>
    <n v="0.25"/>
    <n v="-563.05999999999995"/>
    <x v="1"/>
    <x v="2"/>
  </r>
  <r>
    <n v="1216"/>
    <x v="188"/>
    <d v="2025-07-26T00:00:00"/>
    <s v="C1112"/>
    <s v="Customer 204"/>
    <x v="1"/>
    <s v="Hyderabad"/>
    <s v="Telangana"/>
    <x v="2"/>
    <x v="2"/>
    <s v="Paper"/>
    <x v="215"/>
    <n v="73055.62"/>
    <n v="5"/>
    <n v="0.3"/>
    <n v="3568.53"/>
    <x v="2"/>
    <x v="1"/>
  </r>
  <r>
    <n v="1217"/>
    <x v="96"/>
    <d v="2024-07-03T00:00:00"/>
    <s v="C1204"/>
    <s v="Customer 18"/>
    <x v="2"/>
    <s v="Delhi"/>
    <s v="Delhi"/>
    <x v="1"/>
    <x v="0"/>
    <s v="Keyboard"/>
    <x v="216"/>
    <n v="41744.97"/>
    <n v="7"/>
    <n v="0.1"/>
    <n v="8368.0300000000007"/>
    <x v="0"/>
    <x v="1"/>
  </r>
  <r>
    <n v="1218"/>
    <x v="189"/>
    <d v="2024-04-01T00:00:00"/>
    <s v="C1244"/>
    <s v="Customer 176"/>
    <x v="0"/>
    <s v="Patna"/>
    <s v="Bihar"/>
    <x v="3"/>
    <x v="0"/>
    <s v="Mouse"/>
    <x v="217"/>
    <n v="68667.649999999994"/>
    <n v="10"/>
    <n v="0"/>
    <n v="18033.12"/>
    <x v="0"/>
    <x v="2"/>
  </r>
  <r>
    <n v="1219"/>
    <x v="190"/>
    <d v="2024-12-05T00:00:00"/>
    <s v="C1027"/>
    <s v="Customer 179"/>
    <x v="2"/>
    <s v="Chennai"/>
    <s v="Tamil Nadu"/>
    <x v="2"/>
    <x v="1"/>
    <s v="Table"/>
    <x v="218"/>
    <n v="86517.3"/>
    <n v="1"/>
    <n v="0.3"/>
    <n v="4051.26"/>
    <x v="4"/>
    <x v="1"/>
  </r>
  <r>
    <n v="1220"/>
    <x v="191"/>
    <d v="2024-06-13T00:00:00"/>
    <s v="C1141"/>
    <s v="Customer 119"/>
    <x v="0"/>
    <s v="Bhubaneswar"/>
    <s v="Odisha"/>
    <x v="3"/>
    <x v="0"/>
    <s v="Keyboard"/>
    <x v="219"/>
    <n v="63536.7"/>
    <n v="3"/>
    <n v="0.3"/>
    <n v="6706.06"/>
    <x v="1"/>
    <x v="1"/>
  </r>
  <r>
    <n v="1221"/>
    <x v="99"/>
    <d v="2025-11-18T00:00:00"/>
    <s v="C1107"/>
    <s v="Customer 193"/>
    <x v="1"/>
    <s v="Bengaluru"/>
    <s v="Karnataka"/>
    <x v="2"/>
    <x v="2"/>
    <s v="Pen"/>
    <x v="220"/>
    <n v="57884.639999999999"/>
    <n v="4"/>
    <n v="0.25"/>
    <n v="4036.6"/>
    <x v="2"/>
    <x v="1"/>
  </r>
  <r>
    <n v="1222"/>
    <x v="192"/>
    <d v="2025-12-08T00:00:00"/>
    <s v="C1002"/>
    <s v="Customer 216"/>
    <x v="2"/>
    <s v="Mumbai"/>
    <s v="Maharashtra"/>
    <x v="0"/>
    <x v="1"/>
    <s v="Bookcase"/>
    <x v="39"/>
    <n v="1903.5"/>
    <n v="5"/>
    <n v="0.15"/>
    <n v="91.54"/>
    <x v="2"/>
    <x v="3"/>
  </r>
  <r>
    <n v="1223"/>
    <x v="193"/>
    <d v="2024-05-20T00:00:00"/>
    <s v="C1040"/>
    <s v="Customer 51"/>
    <x v="0"/>
    <s v="Kolkata"/>
    <s v="West Bengal"/>
    <x v="3"/>
    <x v="0"/>
    <s v="Monitor"/>
    <x v="221"/>
    <n v="85805.92"/>
    <n v="4"/>
    <n v="0.1"/>
    <n v="7103.01"/>
    <x v="5"/>
    <x v="1"/>
  </r>
  <r>
    <n v="1224"/>
    <x v="194"/>
    <d v="2024-04-08T00:00:00"/>
    <s v="C1148"/>
    <s v="Customer 198"/>
    <x v="0"/>
    <s v="Kolkata"/>
    <s v="West Bengal"/>
    <x v="3"/>
    <x v="1"/>
    <s v="Chair"/>
    <x v="222"/>
    <n v="41057.980000000003"/>
    <n v="6"/>
    <n v="0.2"/>
    <n v="5808.58"/>
    <x v="2"/>
    <x v="2"/>
  </r>
  <r>
    <n v="1225"/>
    <x v="61"/>
    <d v="2024-05-23T00:00:00"/>
    <s v="C1039"/>
    <s v="Customer 85"/>
    <x v="2"/>
    <s v="Patna"/>
    <s v="Bihar"/>
    <x v="3"/>
    <x v="1"/>
    <s v="Bookcase"/>
    <x v="15"/>
    <n v="22984.880000000001"/>
    <n v="3"/>
    <n v="0.2"/>
    <n v="3226.9"/>
    <x v="7"/>
    <x v="2"/>
  </r>
  <r>
    <n v="1226"/>
    <x v="195"/>
    <d v="2025-12-01T00:00:00"/>
    <s v="C1009"/>
    <s v="Customer 99"/>
    <x v="2"/>
    <s v="Mumbai"/>
    <s v="Maharashtra"/>
    <x v="0"/>
    <x v="1"/>
    <s v="Table"/>
    <x v="223"/>
    <n v="38238.269999999997"/>
    <n v="5"/>
    <n v="0.1"/>
    <n v="7444.54"/>
    <x v="4"/>
    <x v="2"/>
  </r>
  <r>
    <n v="1227"/>
    <x v="196"/>
    <d v="2025-07-20T00:00:00"/>
    <s v="C1030"/>
    <s v="Customer 57"/>
    <x v="1"/>
    <s v="Mumbai"/>
    <s v="Maharashtra"/>
    <x v="0"/>
    <x v="1"/>
    <s v="Sofa"/>
    <x v="224"/>
    <n v="36787.019999999997"/>
    <n v="1"/>
    <n v="0.05"/>
    <n v="7887.51"/>
    <x v="1"/>
    <x v="2"/>
  </r>
  <r>
    <n v="1228"/>
    <x v="197"/>
    <d v="2024-10-25T00:00:00"/>
    <s v="C1053"/>
    <s v="Customer 178"/>
    <x v="2"/>
    <s v="Chennai"/>
    <s v="Tamil Nadu"/>
    <x v="2"/>
    <x v="0"/>
    <s v="Phone"/>
    <x v="225"/>
    <n v="61997.72"/>
    <n v="8"/>
    <n v="0.1"/>
    <n v="9238.01"/>
    <x v="1"/>
    <x v="2"/>
  </r>
  <r>
    <n v="1229"/>
    <x v="198"/>
    <d v="2025-06-13T00:00:00"/>
    <s v="C1155"/>
    <s v="Customer 83"/>
    <x v="0"/>
    <s v="Pune"/>
    <s v="Maharashtra"/>
    <x v="0"/>
    <x v="2"/>
    <s v="Paper"/>
    <x v="226"/>
    <n v="53389.08"/>
    <n v="5"/>
    <n v="0.25"/>
    <n v="3318.65"/>
    <x v="7"/>
    <x v="1"/>
  </r>
  <r>
    <n v="1230"/>
    <x v="144"/>
    <d v="2024-11-29T00:00:00"/>
    <s v="C1193"/>
    <s v="Customer 183"/>
    <x v="2"/>
    <s v="Mumbai"/>
    <s v="Maharashtra"/>
    <x v="0"/>
    <x v="2"/>
    <s v="Notebook"/>
    <x v="227"/>
    <n v="86770.14"/>
    <n v="7"/>
    <n v="0"/>
    <n v="23895.51"/>
    <x v="6"/>
    <x v="0"/>
  </r>
  <r>
    <n v="1231"/>
    <x v="149"/>
    <d v="2024-06-21T00:00:00"/>
    <s v="C1057"/>
    <s v="Customer 297"/>
    <x v="1"/>
    <s v="Mumbai"/>
    <s v="Maharashtra"/>
    <x v="0"/>
    <x v="2"/>
    <s v="Pen"/>
    <x v="228"/>
    <n v="79635.56"/>
    <n v="4"/>
    <n v="0.25"/>
    <n v="12378.54"/>
    <x v="5"/>
    <x v="1"/>
  </r>
  <r>
    <n v="1232"/>
    <x v="171"/>
    <d v="2025-01-02T00:00:00"/>
    <s v="C1274"/>
    <s v="Customer 235"/>
    <x v="1"/>
    <s v="Bengaluru"/>
    <s v="Karnataka"/>
    <x v="2"/>
    <x v="0"/>
    <s v="Keyboard"/>
    <x v="229"/>
    <n v="83515.75"/>
    <n v="5"/>
    <n v="0.05"/>
    <n v="14701.57"/>
    <x v="1"/>
    <x v="0"/>
  </r>
  <r>
    <n v="1233"/>
    <x v="199"/>
    <d v="2024-03-02T00:00:00"/>
    <s v="C1285"/>
    <s v="Customer 40"/>
    <x v="2"/>
    <s v="Jaipur"/>
    <s v="Rajasthan"/>
    <x v="1"/>
    <x v="1"/>
    <s v="Chair"/>
    <x v="230"/>
    <n v="30212.39"/>
    <n v="9"/>
    <n v="0.25"/>
    <n v="3657.95"/>
    <x v="5"/>
    <x v="3"/>
  </r>
  <r>
    <n v="1234"/>
    <x v="200"/>
    <d v="2024-06-13T00:00:00"/>
    <s v="C1101"/>
    <s v="Customer 221"/>
    <x v="1"/>
    <s v="Bengaluru"/>
    <s v="Karnataka"/>
    <x v="2"/>
    <x v="2"/>
    <s v="Storage"/>
    <x v="231"/>
    <n v="18463.29"/>
    <n v="6"/>
    <n v="0.1"/>
    <n v="3091.21"/>
    <x v="5"/>
    <x v="3"/>
  </r>
  <r>
    <n v="1235"/>
    <x v="201"/>
    <d v="2025-02-04T00:00:00"/>
    <s v="C1073"/>
    <s v="Customer 171"/>
    <x v="0"/>
    <s v="Hyderabad"/>
    <s v="Telangana"/>
    <x v="2"/>
    <x v="2"/>
    <s v="Storage"/>
    <x v="232"/>
    <n v="60024.87"/>
    <n v="1"/>
    <n v="0.2"/>
    <n v="10150.06"/>
    <x v="6"/>
    <x v="0"/>
  </r>
  <r>
    <n v="1236"/>
    <x v="129"/>
    <d v="2024-03-19T00:00:00"/>
    <s v="C1271"/>
    <s v="Customer 106"/>
    <x v="1"/>
    <s v="Chennai"/>
    <s v="Tamil Nadu"/>
    <x v="2"/>
    <x v="2"/>
    <s v="Notebook"/>
    <x v="233"/>
    <n v="79257.86"/>
    <n v="9"/>
    <n v="0.05"/>
    <n v="18093.77"/>
    <x v="1"/>
    <x v="1"/>
  </r>
  <r>
    <n v="1237"/>
    <x v="202"/>
    <d v="2024-02-20T00:00:00"/>
    <s v="C1071"/>
    <s v="Customer 91"/>
    <x v="0"/>
    <s v="Hyderabad"/>
    <s v="Telangana"/>
    <x v="2"/>
    <x v="2"/>
    <s v="Pen"/>
    <x v="234"/>
    <n v="13487.7"/>
    <n v="4"/>
    <n v="0.2"/>
    <n v="1908.19"/>
    <x v="7"/>
    <x v="0"/>
  </r>
  <r>
    <n v="1238"/>
    <x v="203"/>
    <d v="2024-05-29T00:00:00"/>
    <s v="C1137"/>
    <s v="Customer 274"/>
    <x v="0"/>
    <s v="Bengaluru"/>
    <s v="Karnataka"/>
    <x v="2"/>
    <x v="2"/>
    <s v="Pen"/>
    <x v="235"/>
    <n v="88502.16"/>
    <n v="4"/>
    <n v="0.3"/>
    <n v="18.690000000000001"/>
    <x v="0"/>
    <x v="3"/>
  </r>
  <r>
    <n v="1239"/>
    <x v="204"/>
    <d v="2024-09-23T00:00:00"/>
    <s v="C1065"/>
    <s v="Customer 84"/>
    <x v="0"/>
    <s v="Pune"/>
    <s v="Maharashtra"/>
    <x v="0"/>
    <x v="0"/>
    <s v="Laptop"/>
    <x v="236"/>
    <n v="19109.12"/>
    <n v="5"/>
    <n v="0.1"/>
    <n v="4560.79"/>
    <x v="2"/>
    <x v="2"/>
  </r>
  <r>
    <n v="1240"/>
    <x v="205"/>
    <d v="2025-04-12T00:00:00"/>
    <s v="C1051"/>
    <s v="Customer 292"/>
    <x v="1"/>
    <s v="Lucknow"/>
    <s v="Uttar Pradesh"/>
    <x v="1"/>
    <x v="0"/>
    <s v="Keyboard"/>
    <x v="237"/>
    <n v="40224.29"/>
    <n v="8"/>
    <n v="0.25"/>
    <n v="1032.8699999999999"/>
    <x v="5"/>
    <x v="2"/>
  </r>
  <r>
    <n v="1241"/>
    <x v="206"/>
    <d v="2025-12-09T00:00:00"/>
    <s v="C1114"/>
    <s v="Customer 155"/>
    <x v="1"/>
    <s v="Lucknow"/>
    <s v="Uttar Pradesh"/>
    <x v="1"/>
    <x v="2"/>
    <s v="Pen"/>
    <x v="238"/>
    <n v="21100.79"/>
    <n v="7"/>
    <n v="0.05"/>
    <n v="2591.2399999999998"/>
    <x v="5"/>
    <x v="2"/>
  </r>
  <r>
    <n v="1242"/>
    <x v="207"/>
    <d v="2025-08-15T00:00:00"/>
    <s v="C1238"/>
    <s v="Customer 17"/>
    <x v="2"/>
    <s v="Hyderabad"/>
    <s v="Telangana"/>
    <x v="2"/>
    <x v="2"/>
    <s v="Notebook"/>
    <x v="239"/>
    <n v="74175.7"/>
    <n v="10"/>
    <n v="0.25"/>
    <n v="4678.04"/>
    <x v="3"/>
    <x v="0"/>
  </r>
  <r>
    <n v="1243"/>
    <x v="208"/>
    <d v="2025-01-14T00:00:00"/>
    <s v="C1255"/>
    <s v="Customer 188"/>
    <x v="1"/>
    <s v="Mumbai"/>
    <s v="Maharashtra"/>
    <x v="0"/>
    <x v="0"/>
    <s v="Laptop"/>
    <x v="240"/>
    <n v="27017.63"/>
    <n v="4"/>
    <n v="0.05"/>
    <n v="2584.13"/>
    <x v="3"/>
    <x v="3"/>
  </r>
  <r>
    <n v="1244"/>
    <x v="209"/>
    <d v="2025-03-03T00:00:00"/>
    <s v="C1257"/>
    <s v="Customer 15"/>
    <x v="1"/>
    <s v="Lucknow"/>
    <s v="Uttar Pradesh"/>
    <x v="1"/>
    <x v="2"/>
    <s v="Pen"/>
    <x v="241"/>
    <n v="74254.36"/>
    <n v="4"/>
    <n v="0.05"/>
    <n v="20754.830000000002"/>
    <x v="5"/>
    <x v="2"/>
  </r>
  <r>
    <n v="1245"/>
    <x v="210"/>
    <d v="2025-06-27T00:00:00"/>
    <s v="C1090"/>
    <s v="Customer 226"/>
    <x v="1"/>
    <s v="Bhubaneswar"/>
    <s v="Odisha"/>
    <x v="3"/>
    <x v="0"/>
    <s v="Phone"/>
    <x v="242"/>
    <n v="88693.84"/>
    <n v="6"/>
    <n v="0.15"/>
    <n v="6956.8"/>
    <x v="5"/>
    <x v="0"/>
  </r>
  <r>
    <n v="1246"/>
    <x v="211"/>
    <d v="2024-09-07T00:00:00"/>
    <s v="C1021"/>
    <s v="Customer 22"/>
    <x v="2"/>
    <s v="Mumbai"/>
    <s v="Maharashtra"/>
    <x v="0"/>
    <x v="2"/>
    <s v="Storage"/>
    <x v="243"/>
    <n v="24108.93"/>
    <n v="2"/>
    <n v="0.15"/>
    <n v="2003.97"/>
    <x v="5"/>
    <x v="2"/>
  </r>
  <r>
    <n v="1247"/>
    <x v="52"/>
    <d v="2025-01-25T00:00:00"/>
    <s v="C1001"/>
    <s v="Customer 111"/>
    <x v="1"/>
    <s v="Pune"/>
    <s v="Maharashtra"/>
    <x v="0"/>
    <x v="1"/>
    <s v="Table"/>
    <x v="244"/>
    <n v="16772.82"/>
    <n v="8"/>
    <n v="0.25"/>
    <n v="1761.12"/>
    <x v="4"/>
    <x v="2"/>
  </r>
  <r>
    <n v="1248"/>
    <x v="212"/>
    <d v="2025-06-25T00:00:00"/>
    <s v="C1199"/>
    <s v="Customer 180"/>
    <x v="2"/>
    <s v="Jaipur"/>
    <s v="Rajasthan"/>
    <x v="1"/>
    <x v="0"/>
    <s v="Monitor"/>
    <x v="245"/>
    <n v="87502.2"/>
    <n v="7"/>
    <n v="0.05"/>
    <n v="14228.08"/>
    <x v="4"/>
    <x v="1"/>
  </r>
  <r>
    <n v="1249"/>
    <x v="213"/>
    <d v="2025-03-05T00:00:00"/>
    <s v="C1097"/>
    <s v="Customer 148"/>
    <x v="2"/>
    <s v="Pune"/>
    <s v="Maharashtra"/>
    <x v="0"/>
    <x v="1"/>
    <s v="Table"/>
    <x v="246"/>
    <n v="25203.57"/>
    <n v="1"/>
    <n v="0"/>
    <n v="7123.96"/>
    <x v="2"/>
    <x v="0"/>
  </r>
  <r>
    <n v="1250"/>
    <x v="58"/>
    <d v="2024-08-14T00:00:00"/>
    <s v="C1175"/>
    <s v="Customer 21"/>
    <x v="0"/>
    <s v="Mumbai"/>
    <s v="Maharashtra"/>
    <x v="0"/>
    <x v="1"/>
    <s v="Sofa"/>
    <x v="247"/>
    <n v="12857.97"/>
    <n v="7"/>
    <n v="0.15"/>
    <n v="517.76"/>
    <x v="0"/>
    <x v="1"/>
  </r>
  <r>
    <n v="1251"/>
    <x v="177"/>
    <d v="2024-01-13T00:00:00"/>
    <s v="C1202"/>
    <s v="Customer 54"/>
    <x v="1"/>
    <s v="Jaipur"/>
    <s v="Rajasthan"/>
    <x v="1"/>
    <x v="2"/>
    <s v="Storage"/>
    <x v="248"/>
    <n v="88272.39"/>
    <n v="7"/>
    <n v="0.25"/>
    <n v="8393.51"/>
    <x v="7"/>
    <x v="1"/>
  </r>
  <r>
    <n v="1252"/>
    <x v="214"/>
    <d v="2025-02-14T00:00:00"/>
    <s v="C1038"/>
    <s v="Customer 265"/>
    <x v="2"/>
    <s v="Bengaluru"/>
    <s v="Karnataka"/>
    <x v="2"/>
    <x v="0"/>
    <s v="Phone"/>
    <x v="249"/>
    <n v="72328"/>
    <n v="6"/>
    <n v="0"/>
    <n v="17407.52"/>
    <x v="0"/>
    <x v="3"/>
  </r>
  <r>
    <n v="1253"/>
    <x v="215"/>
    <d v="2024-09-08T00:00:00"/>
    <s v="C1215"/>
    <s v="Customer 238"/>
    <x v="1"/>
    <s v="Bhubaneswar"/>
    <s v="Odisha"/>
    <x v="3"/>
    <x v="1"/>
    <s v="Sofa"/>
    <x v="250"/>
    <n v="79747.789999999994"/>
    <n v="7"/>
    <n v="0"/>
    <n v="15686.31"/>
    <x v="3"/>
    <x v="0"/>
  </r>
  <r>
    <n v="1254"/>
    <x v="216"/>
    <d v="2025-06-25T00:00:00"/>
    <s v="C1164"/>
    <s v="Customer 92"/>
    <x v="0"/>
    <s v="Pune"/>
    <s v="Maharashtra"/>
    <x v="0"/>
    <x v="1"/>
    <s v="Sofa"/>
    <x v="251"/>
    <n v="24502.799999999999"/>
    <n v="10"/>
    <n v="0.05"/>
    <n v="3229.43"/>
    <x v="7"/>
    <x v="2"/>
  </r>
  <r>
    <n v="1255"/>
    <x v="217"/>
    <d v="2025-10-07T00:00:00"/>
    <s v="C1078"/>
    <s v="Customer 202"/>
    <x v="1"/>
    <s v="Bhubaneswar"/>
    <s v="Odisha"/>
    <x v="3"/>
    <x v="1"/>
    <s v="Sofa"/>
    <x v="252"/>
    <n v="78490.31"/>
    <n v="5"/>
    <n v="0"/>
    <n v="10519.23"/>
    <x v="0"/>
    <x v="2"/>
  </r>
  <r>
    <n v="1256"/>
    <x v="218"/>
    <d v="2025-06-25T00:00:00"/>
    <s v="C1002"/>
    <s v="Customer 296"/>
    <x v="1"/>
    <s v="Mumbai"/>
    <s v="Maharashtra"/>
    <x v="0"/>
    <x v="2"/>
    <s v="Paper"/>
    <x v="253"/>
    <n v="8758.14"/>
    <n v="9"/>
    <n v="0.25"/>
    <n v="-52.48"/>
    <x v="4"/>
    <x v="0"/>
  </r>
  <r>
    <n v="1257"/>
    <x v="219"/>
    <d v="2025-04-14T00:00:00"/>
    <s v="C1104"/>
    <s v="Customer 255"/>
    <x v="1"/>
    <s v="Hyderabad"/>
    <s v="Telangana"/>
    <x v="2"/>
    <x v="0"/>
    <s v="Phone"/>
    <x v="254"/>
    <n v="68015.58"/>
    <n v="8"/>
    <n v="0.05"/>
    <n v="5229.6899999999996"/>
    <x v="2"/>
    <x v="2"/>
  </r>
  <r>
    <n v="1258"/>
    <x v="220"/>
    <d v="2025-08-20T00:00:00"/>
    <s v="C1055"/>
    <s v="Customer 170"/>
    <x v="1"/>
    <s v="Bhubaneswar"/>
    <s v="Odisha"/>
    <x v="3"/>
    <x v="1"/>
    <s v="Chair"/>
    <x v="255"/>
    <n v="79617.94"/>
    <n v="8"/>
    <n v="0.3"/>
    <n v="8256.58"/>
    <x v="0"/>
    <x v="3"/>
  </r>
  <r>
    <n v="1259"/>
    <x v="221"/>
    <d v="2024-04-14T00:00:00"/>
    <s v="C1217"/>
    <s v="Customer 67"/>
    <x v="1"/>
    <s v="Kolkata"/>
    <s v="West Bengal"/>
    <x v="3"/>
    <x v="1"/>
    <s v="Table"/>
    <x v="256"/>
    <n v="82351.25"/>
    <n v="9"/>
    <n v="0"/>
    <n v="7114.79"/>
    <x v="4"/>
    <x v="2"/>
  </r>
  <r>
    <n v="1260"/>
    <x v="222"/>
    <d v="2025-06-04T00:00:00"/>
    <s v="C1071"/>
    <s v="Customer 217"/>
    <x v="1"/>
    <s v="Patna"/>
    <s v="Bihar"/>
    <x v="3"/>
    <x v="1"/>
    <s v="Chair"/>
    <x v="257"/>
    <n v="79255.06"/>
    <n v="7"/>
    <n v="0.15"/>
    <n v="14022.78"/>
    <x v="2"/>
    <x v="3"/>
  </r>
  <r>
    <n v="1261"/>
    <x v="223"/>
    <d v="2024-02-04T00:00:00"/>
    <s v="C1188"/>
    <s v="Customer 232"/>
    <x v="1"/>
    <s v="Kolkata"/>
    <s v="West Bengal"/>
    <x v="3"/>
    <x v="1"/>
    <s v="Bookcase"/>
    <x v="258"/>
    <n v="39302.83"/>
    <n v="3"/>
    <n v="0.2"/>
    <n v="5365.12"/>
    <x v="0"/>
    <x v="3"/>
  </r>
  <r>
    <n v="1262"/>
    <x v="224"/>
    <d v="2024-02-04T00:00:00"/>
    <s v="C1050"/>
    <s v="Customer 66"/>
    <x v="0"/>
    <s v="Bhubaneswar"/>
    <s v="Odisha"/>
    <x v="3"/>
    <x v="2"/>
    <s v="Pen"/>
    <x v="259"/>
    <n v="8969.5"/>
    <n v="1"/>
    <n v="0.15"/>
    <n v="1491.05"/>
    <x v="7"/>
    <x v="3"/>
  </r>
  <r>
    <n v="1263"/>
    <x v="225"/>
    <d v="2024-09-07T00:00:00"/>
    <s v="C1250"/>
    <s v="Customer 192"/>
    <x v="2"/>
    <s v="Delhi"/>
    <s v="Delhi"/>
    <x v="1"/>
    <x v="1"/>
    <s v="Table"/>
    <x v="260"/>
    <n v="12558.53"/>
    <n v="5"/>
    <n v="0.2"/>
    <n v="1099.08"/>
    <x v="5"/>
    <x v="1"/>
  </r>
  <r>
    <n v="1264"/>
    <x v="226"/>
    <d v="2025-12-20T00:00:00"/>
    <s v="C1182"/>
    <s v="Customer 267"/>
    <x v="1"/>
    <s v="Jaipur"/>
    <s v="Rajasthan"/>
    <x v="1"/>
    <x v="0"/>
    <s v="Monitor"/>
    <x v="261"/>
    <n v="72022.8"/>
    <n v="10"/>
    <n v="0"/>
    <n v="9715.5"/>
    <x v="7"/>
    <x v="2"/>
  </r>
  <r>
    <n v="1265"/>
    <x v="219"/>
    <d v="2025-04-18T00:00:00"/>
    <s v="C1151"/>
    <s v="Customer 283"/>
    <x v="2"/>
    <s v="Bengaluru"/>
    <s v="Karnataka"/>
    <x v="2"/>
    <x v="0"/>
    <s v="Mouse"/>
    <x v="262"/>
    <n v="50785.72"/>
    <n v="1"/>
    <n v="0.15"/>
    <n v="8426.18"/>
    <x v="3"/>
    <x v="3"/>
  </r>
  <r>
    <n v="1266"/>
    <x v="172"/>
    <d v="2025-11-14T00:00:00"/>
    <s v="C1137"/>
    <s v="Customer 264"/>
    <x v="1"/>
    <s v="Ahmedabad"/>
    <s v="Gujarat"/>
    <x v="0"/>
    <x v="2"/>
    <s v="Binder"/>
    <x v="263"/>
    <n v="32248.03"/>
    <n v="2"/>
    <n v="0.2"/>
    <n v="4199"/>
    <x v="5"/>
    <x v="3"/>
  </r>
  <r>
    <n v="1267"/>
    <x v="227"/>
    <d v="2025-09-04T00:00:00"/>
    <s v="C1092"/>
    <s v="Customer 58"/>
    <x v="0"/>
    <s v="Bengaluru"/>
    <s v="Karnataka"/>
    <x v="2"/>
    <x v="2"/>
    <s v="Storage"/>
    <x v="264"/>
    <n v="52097.67"/>
    <n v="9"/>
    <n v="0"/>
    <n v="11428.67"/>
    <x v="2"/>
    <x v="3"/>
  </r>
  <r>
    <n v="1268"/>
    <x v="228"/>
    <d v="2025-05-13T00:00:00"/>
    <s v="C1226"/>
    <s v="Customer 209"/>
    <x v="2"/>
    <s v="Delhi"/>
    <s v="Delhi"/>
    <x v="1"/>
    <x v="0"/>
    <s v="Keyboard"/>
    <x v="265"/>
    <n v="50017.04"/>
    <n v="3"/>
    <n v="0"/>
    <n v="5113.7"/>
    <x v="6"/>
    <x v="2"/>
  </r>
  <r>
    <n v="1269"/>
    <x v="229"/>
    <d v="2024-09-27T00:00:00"/>
    <s v="C1087"/>
    <s v="Customer 29"/>
    <x v="0"/>
    <s v="Chennai"/>
    <s v="Tamil Nadu"/>
    <x v="2"/>
    <x v="1"/>
    <s v="Chair"/>
    <x v="266"/>
    <n v="63974.71"/>
    <n v="7"/>
    <n v="0"/>
    <n v="10696"/>
    <x v="1"/>
    <x v="3"/>
  </r>
  <r>
    <n v="1270"/>
    <x v="230"/>
    <d v="2024-12-22T00:00:00"/>
    <s v="C1275"/>
    <s v="Customer 142"/>
    <x v="1"/>
    <s v="Chennai"/>
    <s v="Tamil Nadu"/>
    <x v="2"/>
    <x v="1"/>
    <s v="Sofa"/>
    <x v="22"/>
    <n v="51017.3"/>
    <n v="4"/>
    <n v="0"/>
    <n v="11161.63"/>
    <x v="1"/>
    <x v="3"/>
  </r>
  <r>
    <n v="1271"/>
    <x v="231"/>
    <d v="2024-01-17T00:00:00"/>
    <s v="C1063"/>
    <s v="Customer 46"/>
    <x v="0"/>
    <s v="Bhubaneswar"/>
    <s v="Odisha"/>
    <x v="3"/>
    <x v="2"/>
    <s v="Binder"/>
    <x v="267"/>
    <n v="13327.8"/>
    <n v="7"/>
    <n v="0.1"/>
    <n v="2773.62"/>
    <x v="0"/>
    <x v="3"/>
  </r>
  <r>
    <n v="1272"/>
    <x v="232"/>
    <d v="2025-10-04T00:00:00"/>
    <s v="C1006"/>
    <s v="Customer 12"/>
    <x v="2"/>
    <s v="Mumbai"/>
    <s v="Maharashtra"/>
    <x v="0"/>
    <x v="0"/>
    <s v="Mouse"/>
    <x v="268"/>
    <n v="35235.56"/>
    <n v="8"/>
    <n v="0.1"/>
    <n v="7896.57"/>
    <x v="7"/>
    <x v="0"/>
  </r>
  <r>
    <n v="1273"/>
    <x v="233"/>
    <d v="2025-06-02T00:00:00"/>
    <s v="C1016"/>
    <s v="Customer 298"/>
    <x v="2"/>
    <s v="Mumbai"/>
    <s v="Maharashtra"/>
    <x v="0"/>
    <x v="1"/>
    <s v="Sofa"/>
    <x v="269"/>
    <n v="56752.98"/>
    <n v="9"/>
    <n v="0.05"/>
    <n v="14529.67"/>
    <x v="5"/>
    <x v="3"/>
  </r>
  <r>
    <n v="1274"/>
    <x v="234"/>
    <d v="2024-11-22T00:00:00"/>
    <s v="C1260"/>
    <s v="Customer 103"/>
    <x v="1"/>
    <s v="Chennai"/>
    <s v="Tamil Nadu"/>
    <x v="2"/>
    <x v="0"/>
    <s v="Monitor"/>
    <x v="270"/>
    <n v="14668.91"/>
    <n v="5"/>
    <n v="0.15"/>
    <n v="411.55"/>
    <x v="5"/>
    <x v="0"/>
  </r>
  <r>
    <n v="1275"/>
    <x v="235"/>
    <d v="2025-02-23T00:00:00"/>
    <s v="C1265"/>
    <s v="Customer 297"/>
    <x v="0"/>
    <s v="Delhi"/>
    <s v="Delhi"/>
    <x v="1"/>
    <x v="0"/>
    <s v="Keyboard"/>
    <x v="271"/>
    <n v="79884.72"/>
    <n v="8"/>
    <n v="0.2"/>
    <n v="15515.4"/>
    <x v="6"/>
    <x v="0"/>
  </r>
  <r>
    <n v="1276"/>
    <x v="236"/>
    <d v="2024-08-31T00:00:00"/>
    <s v="C1155"/>
    <s v="Customer 104"/>
    <x v="1"/>
    <s v="Patna"/>
    <s v="Bihar"/>
    <x v="3"/>
    <x v="0"/>
    <s v="Monitor"/>
    <x v="272"/>
    <n v="30914.75"/>
    <n v="9"/>
    <n v="0.05"/>
    <n v="2492.13"/>
    <x v="5"/>
    <x v="1"/>
  </r>
  <r>
    <n v="1277"/>
    <x v="22"/>
    <d v="2024-03-04T00:00:00"/>
    <s v="C1099"/>
    <s v="Customer 155"/>
    <x v="0"/>
    <s v="Jaipur"/>
    <s v="Rajasthan"/>
    <x v="1"/>
    <x v="0"/>
    <s v="Laptop"/>
    <x v="273"/>
    <n v="3046.65"/>
    <n v="3"/>
    <n v="0"/>
    <n v="550.19000000000005"/>
    <x v="0"/>
    <x v="1"/>
  </r>
  <r>
    <n v="1278"/>
    <x v="237"/>
    <d v="2024-04-24T00:00:00"/>
    <s v="C1008"/>
    <s v="Customer 271"/>
    <x v="0"/>
    <s v="Patna"/>
    <s v="Bihar"/>
    <x v="3"/>
    <x v="1"/>
    <s v="Sofa"/>
    <x v="274"/>
    <n v="45434.53"/>
    <n v="6"/>
    <n v="0.2"/>
    <n v="3846.53"/>
    <x v="2"/>
    <x v="1"/>
  </r>
  <r>
    <n v="1279"/>
    <x v="238"/>
    <d v="2025-08-31T00:00:00"/>
    <s v="C1030"/>
    <s v="Customer 197"/>
    <x v="2"/>
    <s v="Delhi"/>
    <s v="Delhi"/>
    <x v="1"/>
    <x v="2"/>
    <s v="Paper"/>
    <x v="275"/>
    <n v="68196.160000000003"/>
    <n v="8"/>
    <n v="0"/>
    <n v="15674.24"/>
    <x v="0"/>
    <x v="2"/>
  </r>
  <r>
    <n v="1280"/>
    <x v="239"/>
    <d v="2024-03-10T00:00:00"/>
    <s v="C1265"/>
    <s v="Customer 102"/>
    <x v="1"/>
    <s v="Delhi"/>
    <s v="Delhi"/>
    <x v="1"/>
    <x v="2"/>
    <s v="Paper"/>
    <x v="276"/>
    <n v="79171.649999999994"/>
    <n v="2"/>
    <n v="0.3"/>
    <n v="6536.14"/>
    <x v="3"/>
    <x v="3"/>
  </r>
  <r>
    <n v="1281"/>
    <x v="66"/>
    <d v="2025-07-25T00:00:00"/>
    <s v="C1020"/>
    <s v="Customer 100"/>
    <x v="2"/>
    <s v="Delhi"/>
    <s v="Delhi"/>
    <x v="1"/>
    <x v="0"/>
    <s v="Keyboard"/>
    <x v="277"/>
    <n v="40418.25"/>
    <n v="5"/>
    <n v="0.2"/>
    <n v="4522.6400000000003"/>
    <x v="6"/>
    <x v="0"/>
  </r>
  <r>
    <n v="1282"/>
    <x v="145"/>
    <d v="2024-02-23T00:00:00"/>
    <s v="C1016"/>
    <s v="Customer 249"/>
    <x v="1"/>
    <s v="Ahmedabad"/>
    <s v="Gujarat"/>
    <x v="0"/>
    <x v="1"/>
    <s v="Table"/>
    <x v="278"/>
    <n v="58406.28"/>
    <n v="1"/>
    <n v="0"/>
    <n v="9254.32"/>
    <x v="7"/>
    <x v="2"/>
  </r>
  <r>
    <n v="1283"/>
    <x v="50"/>
    <d v="2024-12-14T00:00:00"/>
    <s v="C1193"/>
    <s v="Customer 240"/>
    <x v="1"/>
    <s v="Delhi"/>
    <s v="Delhi"/>
    <x v="1"/>
    <x v="1"/>
    <s v="Chair"/>
    <x v="279"/>
    <n v="23336.17"/>
    <n v="2"/>
    <n v="0.15"/>
    <n v="3717.92"/>
    <x v="2"/>
    <x v="2"/>
  </r>
  <r>
    <n v="1284"/>
    <x v="240"/>
    <d v="2025-09-17T00:00:00"/>
    <s v="C1070"/>
    <s v="Customer 93"/>
    <x v="2"/>
    <s v="Hyderabad"/>
    <s v="Telangana"/>
    <x v="2"/>
    <x v="0"/>
    <s v="Phone"/>
    <x v="280"/>
    <n v="18106.46"/>
    <n v="2"/>
    <n v="0.25"/>
    <n v="1901.03"/>
    <x v="7"/>
    <x v="0"/>
  </r>
  <r>
    <n v="1285"/>
    <x v="241"/>
    <d v="2024-11-13T00:00:00"/>
    <s v="C1088"/>
    <s v="Customer 166"/>
    <x v="1"/>
    <s v="Mumbai"/>
    <s v="Maharashtra"/>
    <x v="0"/>
    <x v="0"/>
    <s v="Laptop"/>
    <x v="281"/>
    <n v="41089.370000000003"/>
    <n v="3"/>
    <n v="0.05"/>
    <n v="3761.23"/>
    <x v="5"/>
    <x v="0"/>
  </r>
  <r>
    <n v="1286"/>
    <x v="48"/>
    <d v="2025-09-10T00:00:00"/>
    <s v="C1067"/>
    <s v="Customer 64"/>
    <x v="0"/>
    <s v="Delhi"/>
    <s v="Delhi"/>
    <x v="1"/>
    <x v="2"/>
    <s v="Pen"/>
    <x v="282"/>
    <n v="69000.149999999994"/>
    <n v="10"/>
    <n v="0.05"/>
    <n v="9580.42"/>
    <x v="0"/>
    <x v="2"/>
  </r>
  <r>
    <n v="1287"/>
    <x v="71"/>
    <d v="2024-08-28T00:00:00"/>
    <s v="C1078"/>
    <s v="Customer 36"/>
    <x v="1"/>
    <s v="Jaipur"/>
    <s v="Rajasthan"/>
    <x v="1"/>
    <x v="0"/>
    <s v="Monitor"/>
    <x v="283"/>
    <n v="19993.86"/>
    <n v="4"/>
    <n v="0.3"/>
    <n v="-796.32"/>
    <x v="2"/>
    <x v="0"/>
  </r>
  <r>
    <n v="1288"/>
    <x v="194"/>
    <d v="2024-04-07T00:00:00"/>
    <s v="C1050"/>
    <s v="Customer 253"/>
    <x v="1"/>
    <s v="Lucknow"/>
    <s v="Uttar Pradesh"/>
    <x v="1"/>
    <x v="0"/>
    <s v="Phone"/>
    <x v="284"/>
    <n v="73289.83"/>
    <n v="3"/>
    <n v="0.15"/>
    <n v="5888.6"/>
    <x v="3"/>
    <x v="2"/>
  </r>
  <r>
    <n v="1289"/>
    <x v="242"/>
    <d v="2025-07-07T00:00:00"/>
    <s v="C1119"/>
    <s v="Customer 151"/>
    <x v="2"/>
    <s v="Bengaluru"/>
    <s v="Karnataka"/>
    <x v="2"/>
    <x v="2"/>
    <s v="Pen"/>
    <x v="285"/>
    <n v="76146.36"/>
    <n v="8"/>
    <n v="0.05"/>
    <n v="10620.74"/>
    <x v="6"/>
    <x v="0"/>
  </r>
  <r>
    <n v="1290"/>
    <x v="71"/>
    <d v="2024-08-25T00:00:00"/>
    <s v="C1225"/>
    <s v="Customer 86"/>
    <x v="0"/>
    <s v="Jaipur"/>
    <s v="Rajasthan"/>
    <x v="1"/>
    <x v="0"/>
    <s v="Laptop"/>
    <x v="286"/>
    <n v="28644.54"/>
    <n v="6"/>
    <n v="0.3"/>
    <n v="2512.11"/>
    <x v="2"/>
    <x v="2"/>
  </r>
  <r>
    <n v="1291"/>
    <x v="26"/>
    <d v="2024-08-05T00:00:00"/>
    <s v="C1183"/>
    <s v="Customer 151"/>
    <x v="1"/>
    <s v="Pune"/>
    <s v="Maharashtra"/>
    <x v="0"/>
    <x v="1"/>
    <s v="Chair"/>
    <x v="287"/>
    <n v="44068.47"/>
    <n v="4"/>
    <n v="0.15"/>
    <n v="10456.959999999999"/>
    <x v="7"/>
    <x v="3"/>
  </r>
  <r>
    <n v="1292"/>
    <x v="243"/>
    <d v="2024-05-27T00:00:00"/>
    <s v="C1101"/>
    <s v="Customer 167"/>
    <x v="1"/>
    <s v="Delhi"/>
    <s v="Delhi"/>
    <x v="1"/>
    <x v="0"/>
    <s v="Mouse"/>
    <x v="288"/>
    <n v="19764.29"/>
    <n v="1"/>
    <n v="0.3"/>
    <n v="-520.44000000000005"/>
    <x v="2"/>
    <x v="3"/>
  </r>
  <r>
    <n v="1293"/>
    <x v="81"/>
    <d v="2024-11-26T00:00:00"/>
    <s v="C1079"/>
    <s v="Customer 107"/>
    <x v="1"/>
    <s v="Delhi"/>
    <s v="Delhi"/>
    <x v="1"/>
    <x v="1"/>
    <s v="Sofa"/>
    <x v="289"/>
    <n v="12265.44"/>
    <n v="3"/>
    <n v="0.25"/>
    <n v="1041.26"/>
    <x v="4"/>
    <x v="0"/>
  </r>
  <r>
    <n v="1294"/>
    <x v="244"/>
    <d v="2024-08-10T00:00:00"/>
    <s v="C1064"/>
    <s v="Customer 244"/>
    <x v="0"/>
    <s v="Chennai"/>
    <s v="Tamil Nadu"/>
    <x v="2"/>
    <x v="2"/>
    <s v="Pen"/>
    <x v="290"/>
    <n v="70314.429999999993"/>
    <n v="1"/>
    <n v="0.3"/>
    <n v="-2021.26"/>
    <x v="4"/>
    <x v="1"/>
  </r>
  <r>
    <n v="1295"/>
    <x v="245"/>
    <d v="2025-03-21T00:00:00"/>
    <s v="C1088"/>
    <s v="Customer 187"/>
    <x v="1"/>
    <s v="Chennai"/>
    <s v="Tamil Nadu"/>
    <x v="2"/>
    <x v="1"/>
    <s v="Sofa"/>
    <x v="291"/>
    <n v="72886.05"/>
    <n v="6"/>
    <n v="0.1"/>
    <n v="15168.19"/>
    <x v="7"/>
    <x v="0"/>
  </r>
  <r>
    <n v="1296"/>
    <x v="246"/>
    <d v="2025-09-16T00:00:00"/>
    <s v="C1082"/>
    <s v="Customer 205"/>
    <x v="2"/>
    <s v="Hyderabad"/>
    <s v="Telangana"/>
    <x v="2"/>
    <x v="2"/>
    <s v="Storage"/>
    <x v="292"/>
    <n v="46274.61"/>
    <n v="2"/>
    <n v="0.2"/>
    <n v="4243.5600000000004"/>
    <x v="0"/>
    <x v="2"/>
  </r>
  <r>
    <n v="1297"/>
    <x v="247"/>
    <d v="2025-06-26T00:00:00"/>
    <s v="C1154"/>
    <s v="Customer 215"/>
    <x v="1"/>
    <s v="Bengaluru"/>
    <s v="Karnataka"/>
    <x v="2"/>
    <x v="0"/>
    <s v="Mouse"/>
    <x v="293"/>
    <n v="39846.31"/>
    <n v="5"/>
    <n v="0.3"/>
    <n v="1638.44"/>
    <x v="5"/>
    <x v="0"/>
  </r>
  <r>
    <n v="1298"/>
    <x v="248"/>
    <d v="2025-06-13T00:00:00"/>
    <s v="C1195"/>
    <s v="Customer 36"/>
    <x v="0"/>
    <s v="Bhubaneswar"/>
    <s v="Odisha"/>
    <x v="3"/>
    <x v="1"/>
    <s v="Bookcase"/>
    <x v="294"/>
    <n v="5715.03"/>
    <n v="1"/>
    <n v="0.05"/>
    <n v="516.34"/>
    <x v="6"/>
    <x v="1"/>
  </r>
  <r>
    <n v="1299"/>
    <x v="49"/>
    <d v="2025-01-13T00:00:00"/>
    <s v="C1284"/>
    <s v="Customer 26"/>
    <x v="1"/>
    <s v="Mumbai"/>
    <s v="Maharashtra"/>
    <x v="0"/>
    <x v="1"/>
    <s v="Chair"/>
    <x v="295"/>
    <n v="87427.37"/>
    <n v="7"/>
    <n v="0.2"/>
    <n v="16209.3"/>
    <x v="4"/>
    <x v="0"/>
  </r>
  <r>
    <n v="1300"/>
    <x v="192"/>
    <d v="2025-12-09T00:00:00"/>
    <s v="C1238"/>
    <s v="Customer 68"/>
    <x v="0"/>
    <s v="Chennai"/>
    <s v="Tamil Nadu"/>
    <x v="2"/>
    <x v="2"/>
    <s v="Storage"/>
    <x v="296"/>
    <n v="2130.59"/>
    <n v="5"/>
    <n v="0.15"/>
    <n v="480.62"/>
    <x v="2"/>
    <x v="1"/>
  </r>
  <r>
    <n v="1301"/>
    <x v="249"/>
    <d v="2025-06-18T00:00:00"/>
    <s v="C1172"/>
    <s v="Customer 13"/>
    <x v="1"/>
    <s v="Jaipur"/>
    <s v="Rajasthan"/>
    <x v="1"/>
    <x v="2"/>
    <s v="Storage"/>
    <x v="297"/>
    <n v="64375.41"/>
    <n v="9"/>
    <n v="0.25"/>
    <n v="7410.2"/>
    <x v="4"/>
    <x v="1"/>
  </r>
  <r>
    <n v="1302"/>
    <x v="250"/>
    <d v="2024-10-31T00:00:00"/>
    <s v="C1054"/>
    <s v="Customer 86"/>
    <x v="0"/>
    <s v="Bengaluru"/>
    <s v="Karnataka"/>
    <x v="2"/>
    <x v="0"/>
    <s v="Keyboard"/>
    <x v="298"/>
    <n v="9051"/>
    <n v="2"/>
    <n v="0.05"/>
    <n v="1920.89"/>
    <x v="6"/>
    <x v="2"/>
  </r>
  <r>
    <n v="1303"/>
    <x v="251"/>
    <d v="2025-04-29T00:00:00"/>
    <s v="C1031"/>
    <s v="Customer 52"/>
    <x v="2"/>
    <s v="Delhi"/>
    <s v="Delhi"/>
    <x v="1"/>
    <x v="0"/>
    <s v="Keyboard"/>
    <x v="299"/>
    <n v="84973.34"/>
    <n v="10"/>
    <n v="0.2"/>
    <n v="3986.77"/>
    <x v="2"/>
    <x v="0"/>
  </r>
  <r>
    <n v="1304"/>
    <x v="202"/>
    <d v="2024-02-17T00:00:00"/>
    <s v="C1136"/>
    <s v="Customer 279"/>
    <x v="1"/>
    <s v="Mumbai"/>
    <s v="Maharashtra"/>
    <x v="0"/>
    <x v="1"/>
    <s v="Chair"/>
    <x v="300"/>
    <n v="69293.490000000005"/>
    <n v="8"/>
    <n v="0.25"/>
    <n v="-356.9"/>
    <x v="6"/>
    <x v="0"/>
  </r>
  <r>
    <n v="1305"/>
    <x v="252"/>
    <d v="2025-12-23T00:00:00"/>
    <s v="C1298"/>
    <s v="Customer 49"/>
    <x v="1"/>
    <s v="Delhi"/>
    <s v="Delhi"/>
    <x v="1"/>
    <x v="0"/>
    <s v="Mouse"/>
    <x v="301"/>
    <n v="41597.22"/>
    <n v="4"/>
    <n v="0.2"/>
    <n v="2989.77"/>
    <x v="3"/>
    <x v="2"/>
  </r>
  <r>
    <n v="1306"/>
    <x v="167"/>
    <d v="2025-05-06T00:00:00"/>
    <s v="C1218"/>
    <s v="Customer 80"/>
    <x v="0"/>
    <s v="Bhubaneswar"/>
    <s v="Odisha"/>
    <x v="3"/>
    <x v="1"/>
    <s v="Chair"/>
    <x v="302"/>
    <n v="81027.320000000007"/>
    <n v="5"/>
    <n v="0.3"/>
    <n v="8529.89"/>
    <x v="3"/>
    <x v="0"/>
  </r>
  <r>
    <n v="1307"/>
    <x v="145"/>
    <d v="2024-02-21T00:00:00"/>
    <s v="C1269"/>
    <s v="Customer 137"/>
    <x v="0"/>
    <s v="Kolkata"/>
    <s v="West Bengal"/>
    <x v="3"/>
    <x v="2"/>
    <s v="Binder"/>
    <x v="303"/>
    <n v="7229.1"/>
    <n v="8"/>
    <n v="0.15"/>
    <n v="1597.84"/>
    <x v="0"/>
    <x v="2"/>
  </r>
  <r>
    <n v="1308"/>
    <x v="253"/>
    <d v="2025-10-16T00:00:00"/>
    <s v="C1225"/>
    <s v="Customer 66"/>
    <x v="2"/>
    <s v="Kolkata"/>
    <s v="West Bengal"/>
    <x v="3"/>
    <x v="1"/>
    <s v="Table"/>
    <x v="304"/>
    <n v="70199.47"/>
    <n v="1"/>
    <n v="0"/>
    <n v="14652.16"/>
    <x v="0"/>
    <x v="0"/>
  </r>
  <r>
    <n v="1309"/>
    <x v="254"/>
    <d v="2025-07-08T00:00:00"/>
    <s v="C1287"/>
    <s v="Customer 184"/>
    <x v="2"/>
    <s v="Lucknow"/>
    <s v="Uttar Pradesh"/>
    <x v="1"/>
    <x v="1"/>
    <s v="Table"/>
    <x v="305"/>
    <n v="78490.009999999995"/>
    <n v="10"/>
    <n v="0.05"/>
    <n v="21157.84"/>
    <x v="5"/>
    <x v="2"/>
  </r>
  <r>
    <n v="1310"/>
    <x v="114"/>
    <d v="2024-08-20T00:00:00"/>
    <s v="C1023"/>
    <s v="Customer 272"/>
    <x v="0"/>
    <s v="Bhubaneswar"/>
    <s v="Odisha"/>
    <x v="3"/>
    <x v="0"/>
    <s v="Keyboard"/>
    <x v="306"/>
    <n v="29273.84"/>
    <n v="8"/>
    <n v="0.3"/>
    <n v="-628.72"/>
    <x v="4"/>
    <x v="2"/>
  </r>
  <r>
    <n v="1311"/>
    <x v="161"/>
    <d v="2024-06-26T00:00:00"/>
    <s v="C1106"/>
    <s v="Customer 67"/>
    <x v="1"/>
    <s v="Ahmedabad"/>
    <s v="Gujarat"/>
    <x v="0"/>
    <x v="0"/>
    <s v="Mouse"/>
    <x v="307"/>
    <n v="21183.56"/>
    <n v="1"/>
    <n v="0.15"/>
    <n v="2174.69"/>
    <x v="4"/>
    <x v="3"/>
  </r>
  <r>
    <n v="1312"/>
    <x v="255"/>
    <d v="2024-09-12T00:00:00"/>
    <s v="C1195"/>
    <s v="Customer 148"/>
    <x v="2"/>
    <s v="Ahmedabad"/>
    <s v="Gujarat"/>
    <x v="0"/>
    <x v="2"/>
    <s v="Storage"/>
    <x v="308"/>
    <n v="54592.65"/>
    <n v="7"/>
    <n v="0.15"/>
    <n v="8167.75"/>
    <x v="6"/>
    <x v="1"/>
  </r>
  <r>
    <n v="1313"/>
    <x v="256"/>
    <d v="2024-01-16T00:00:00"/>
    <s v="C1044"/>
    <s v="Customer 249"/>
    <x v="2"/>
    <s v="Ahmedabad"/>
    <s v="Gujarat"/>
    <x v="0"/>
    <x v="0"/>
    <s v="Laptop"/>
    <x v="309"/>
    <n v="6521.57"/>
    <n v="7"/>
    <n v="0.3"/>
    <n v="1105.92"/>
    <x v="3"/>
    <x v="3"/>
  </r>
  <r>
    <n v="1314"/>
    <x v="257"/>
    <d v="2024-09-13T00:00:00"/>
    <s v="C1197"/>
    <s v="Customer 228"/>
    <x v="1"/>
    <s v="Bengaluru"/>
    <s v="Karnataka"/>
    <x v="2"/>
    <x v="1"/>
    <s v="Table"/>
    <x v="310"/>
    <n v="21661.63"/>
    <n v="6"/>
    <n v="0.2"/>
    <n v="2869.37"/>
    <x v="5"/>
    <x v="1"/>
  </r>
  <r>
    <n v="1315"/>
    <x v="258"/>
    <d v="2024-04-10T00:00:00"/>
    <s v="C1094"/>
    <s v="Customer 194"/>
    <x v="1"/>
    <s v="Bhubaneswar"/>
    <s v="Odisha"/>
    <x v="3"/>
    <x v="0"/>
    <s v="Mouse"/>
    <x v="311"/>
    <n v="78059.009999999995"/>
    <n v="8"/>
    <n v="0.1"/>
    <n v="9299.7900000000009"/>
    <x v="0"/>
    <x v="0"/>
  </r>
  <r>
    <n v="1316"/>
    <x v="259"/>
    <d v="2025-12-06T00:00:00"/>
    <s v="C1214"/>
    <s v="Customer 130"/>
    <x v="2"/>
    <s v="Pune"/>
    <s v="Maharashtra"/>
    <x v="0"/>
    <x v="2"/>
    <s v="Paper"/>
    <x v="312"/>
    <n v="76135.64"/>
    <n v="2"/>
    <n v="0.25"/>
    <n v="8828.33"/>
    <x v="6"/>
    <x v="2"/>
  </r>
  <r>
    <n v="1317"/>
    <x v="260"/>
    <d v="2025-06-17T00:00:00"/>
    <s v="C1033"/>
    <s v="Customer 255"/>
    <x v="1"/>
    <s v="Kolkata"/>
    <s v="West Bengal"/>
    <x v="3"/>
    <x v="0"/>
    <s v="Laptop"/>
    <x v="313"/>
    <n v="59157.39"/>
    <n v="10"/>
    <n v="0"/>
    <n v="15257.47"/>
    <x v="3"/>
    <x v="3"/>
  </r>
  <r>
    <n v="1318"/>
    <x v="215"/>
    <d v="2024-09-08T00:00:00"/>
    <s v="C1143"/>
    <s v="Customer 36"/>
    <x v="2"/>
    <s v="Pune"/>
    <s v="Maharashtra"/>
    <x v="0"/>
    <x v="0"/>
    <s v="Monitor"/>
    <x v="314"/>
    <n v="70781.53"/>
    <n v="4"/>
    <n v="0.3"/>
    <n v="-1160.3599999999999"/>
    <x v="7"/>
    <x v="2"/>
  </r>
  <r>
    <n v="1319"/>
    <x v="261"/>
    <d v="2025-08-27T00:00:00"/>
    <s v="C1025"/>
    <s v="Customer 216"/>
    <x v="1"/>
    <s v="Hyderabad"/>
    <s v="Telangana"/>
    <x v="2"/>
    <x v="0"/>
    <s v="Laptop"/>
    <x v="315"/>
    <n v="53443.19"/>
    <n v="5"/>
    <n v="0.25"/>
    <n v="4664.71"/>
    <x v="1"/>
    <x v="2"/>
  </r>
  <r>
    <n v="1320"/>
    <x v="14"/>
    <d v="2024-01-22T00:00:00"/>
    <s v="C1178"/>
    <s v="Customer 41"/>
    <x v="0"/>
    <s v="Kolkata"/>
    <s v="West Bengal"/>
    <x v="3"/>
    <x v="0"/>
    <s v="Monitor"/>
    <x v="316"/>
    <n v="10499.27"/>
    <n v="9"/>
    <n v="0.15"/>
    <n v="2101.58"/>
    <x v="0"/>
    <x v="1"/>
  </r>
  <r>
    <n v="1321"/>
    <x v="262"/>
    <d v="2025-03-31T00:00:00"/>
    <s v="C1226"/>
    <s v="Customer 143"/>
    <x v="2"/>
    <s v="Bengaluru"/>
    <s v="Karnataka"/>
    <x v="2"/>
    <x v="2"/>
    <s v="Pen"/>
    <x v="317"/>
    <n v="80857.259999999995"/>
    <n v="8"/>
    <n v="0"/>
    <n v="24039.59"/>
    <x v="3"/>
    <x v="2"/>
  </r>
  <r>
    <n v="1322"/>
    <x v="152"/>
    <d v="2025-11-19T00:00:00"/>
    <s v="C1058"/>
    <s v="Customer 53"/>
    <x v="0"/>
    <s v="Delhi"/>
    <s v="Delhi"/>
    <x v="1"/>
    <x v="2"/>
    <s v="Paper"/>
    <x v="318"/>
    <n v="15113.55"/>
    <n v="6"/>
    <n v="0.2"/>
    <n v="1629.36"/>
    <x v="2"/>
    <x v="0"/>
  </r>
  <r>
    <n v="1323"/>
    <x v="222"/>
    <d v="2025-06-02T00:00:00"/>
    <s v="C1250"/>
    <s v="Customer 61"/>
    <x v="0"/>
    <s v="Delhi"/>
    <s v="Delhi"/>
    <x v="1"/>
    <x v="1"/>
    <s v="Table"/>
    <x v="319"/>
    <n v="54511.35"/>
    <n v="3"/>
    <n v="0"/>
    <n v="14989.35"/>
    <x v="6"/>
    <x v="3"/>
  </r>
  <r>
    <n v="1324"/>
    <x v="47"/>
    <d v="2025-11-09T00:00:00"/>
    <s v="C1278"/>
    <s v="Customer 31"/>
    <x v="1"/>
    <s v="Ahmedabad"/>
    <s v="Gujarat"/>
    <x v="0"/>
    <x v="0"/>
    <s v="Monitor"/>
    <x v="320"/>
    <n v="62603.68"/>
    <n v="5"/>
    <n v="0.1"/>
    <n v="9518.1200000000008"/>
    <x v="3"/>
    <x v="1"/>
  </r>
  <r>
    <n v="1325"/>
    <x v="49"/>
    <d v="2025-01-09T00:00:00"/>
    <s v="C1240"/>
    <s v="Customer 129"/>
    <x v="0"/>
    <s v="Hyderabad"/>
    <s v="Telangana"/>
    <x v="2"/>
    <x v="0"/>
    <s v="Mouse"/>
    <x v="321"/>
    <n v="45101.03"/>
    <n v="3"/>
    <n v="0"/>
    <n v="6999.72"/>
    <x v="6"/>
    <x v="0"/>
  </r>
  <r>
    <n v="1326"/>
    <x v="263"/>
    <d v="2025-05-04T00:00:00"/>
    <s v="C1234"/>
    <s v="Customer 245"/>
    <x v="2"/>
    <s v="Bengaluru"/>
    <s v="Karnataka"/>
    <x v="2"/>
    <x v="2"/>
    <s v="Binder"/>
    <x v="322"/>
    <n v="88727.89"/>
    <n v="2"/>
    <n v="0.15"/>
    <n v="9674.3799999999992"/>
    <x v="3"/>
    <x v="2"/>
  </r>
  <r>
    <n v="1327"/>
    <x v="174"/>
    <d v="2025-09-27T00:00:00"/>
    <s v="C1239"/>
    <s v="Customer 50"/>
    <x v="0"/>
    <s v="Chennai"/>
    <s v="Tamil Nadu"/>
    <x v="2"/>
    <x v="1"/>
    <s v="Table"/>
    <x v="323"/>
    <n v="72502.7"/>
    <n v="7"/>
    <n v="0.2"/>
    <n v="7614"/>
    <x v="7"/>
    <x v="1"/>
  </r>
  <r>
    <n v="1328"/>
    <x v="264"/>
    <d v="2025-12-06T00:00:00"/>
    <s v="C1246"/>
    <s v="Customer 47"/>
    <x v="1"/>
    <s v="Hyderabad"/>
    <s v="Telangana"/>
    <x v="2"/>
    <x v="1"/>
    <s v="Sofa"/>
    <x v="324"/>
    <n v="88930.38"/>
    <n v="5"/>
    <n v="0.2"/>
    <n v="14945.73"/>
    <x v="0"/>
    <x v="0"/>
  </r>
  <r>
    <n v="1329"/>
    <x v="265"/>
    <d v="2024-02-15T00:00:00"/>
    <s v="C1082"/>
    <s v="Customer 38"/>
    <x v="2"/>
    <s v="Bengaluru"/>
    <s v="Karnataka"/>
    <x v="2"/>
    <x v="2"/>
    <s v="Notebook"/>
    <x v="325"/>
    <n v="17463.45"/>
    <n v="2"/>
    <n v="0.05"/>
    <n v="2149.52"/>
    <x v="2"/>
    <x v="0"/>
  </r>
  <r>
    <n v="1330"/>
    <x v="13"/>
    <d v="2025-11-29T00:00:00"/>
    <s v="C1108"/>
    <s v="Customer 286"/>
    <x v="1"/>
    <s v="Bengaluru"/>
    <s v="Karnataka"/>
    <x v="2"/>
    <x v="1"/>
    <s v="Table"/>
    <x v="326"/>
    <n v="54976.35"/>
    <n v="1"/>
    <n v="0.25"/>
    <n v="-988.03"/>
    <x v="2"/>
    <x v="3"/>
  </r>
  <r>
    <n v="1331"/>
    <x v="266"/>
    <d v="2024-03-21T00:00:00"/>
    <s v="C1249"/>
    <s v="Customer 260"/>
    <x v="0"/>
    <s v="Kolkata"/>
    <s v="West Bengal"/>
    <x v="3"/>
    <x v="1"/>
    <s v="Chair"/>
    <x v="327"/>
    <n v="20774.18"/>
    <n v="10"/>
    <n v="0"/>
    <n v="2133.29"/>
    <x v="3"/>
    <x v="1"/>
  </r>
  <r>
    <n v="1332"/>
    <x v="267"/>
    <d v="2024-10-17T00:00:00"/>
    <s v="C1167"/>
    <s v="Customer 215"/>
    <x v="1"/>
    <s v="Patna"/>
    <s v="Bihar"/>
    <x v="3"/>
    <x v="0"/>
    <s v="Mouse"/>
    <x v="328"/>
    <n v="56592.01"/>
    <n v="10"/>
    <n v="0.2"/>
    <n v="9494.74"/>
    <x v="2"/>
    <x v="2"/>
  </r>
  <r>
    <n v="1333"/>
    <x v="268"/>
    <d v="2024-10-09T00:00:00"/>
    <s v="C1164"/>
    <s v="Customer 29"/>
    <x v="0"/>
    <s v="Patna"/>
    <s v="Bihar"/>
    <x v="3"/>
    <x v="1"/>
    <s v="Table"/>
    <x v="329"/>
    <n v="85105.88"/>
    <n v="7"/>
    <n v="0.1"/>
    <n v="18404.84"/>
    <x v="4"/>
    <x v="1"/>
  </r>
  <r>
    <n v="1334"/>
    <x v="269"/>
    <d v="2025-05-30T00:00:00"/>
    <s v="C1008"/>
    <s v="Customer 147"/>
    <x v="0"/>
    <s v="Pune"/>
    <s v="Maharashtra"/>
    <x v="0"/>
    <x v="2"/>
    <s v="Binder"/>
    <x v="330"/>
    <n v="24161.56"/>
    <n v="2"/>
    <n v="0"/>
    <n v="6565.96"/>
    <x v="7"/>
    <x v="0"/>
  </r>
  <r>
    <n v="1335"/>
    <x v="270"/>
    <d v="2024-01-06T00:00:00"/>
    <s v="C1192"/>
    <s v="Customer 135"/>
    <x v="2"/>
    <s v="Mumbai"/>
    <s v="Maharashtra"/>
    <x v="0"/>
    <x v="2"/>
    <s v="Pen"/>
    <x v="331"/>
    <n v="54320.25"/>
    <n v="3"/>
    <n v="0.15"/>
    <n v="8679.19"/>
    <x v="4"/>
    <x v="0"/>
  </r>
  <r>
    <n v="1336"/>
    <x v="271"/>
    <d v="2025-07-03T00:00:00"/>
    <s v="C1139"/>
    <s v="Customer 47"/>
    <x v="2"/>
    <s v="Ahmedabad"/>
    <s v="Gujarat"/>
    <x v="0"/>
    <x v="2"/>
    <s v="Binder"/>
    <x v="332"/>
    <n v="63857.48"/>
    <n v="9"/>
    <n v="0.1"/>
    <n v="15649.46"/>
    <x v="6"/>
    <x v="0"/>
  </r>
  <r>
    <n v="1337"/>
    <x v="272"/>
    <d v="2024-10-27T00:00:00"/>
    <s v="C1280"/>
    <s v="Customer 299"/>
    <x v="1"/>
    <s v="Mumbai"/>
    <s v="Maharashtra"/>
    <x v="0"/>
    <x v="2"/>
    <s v="Pen"/>
    <x v="333"/>
    <n v="47368.67"/>
    <n v="3"/>
    <n v="0.1"/>
    <n v="9873.81"/>
    <x v="7"/>
    <x v="3"/>
  </r>
  <r>
    <n v="1338"/>
    <x v="273"/>
    <d v="2024-09-30T00:00:00"/>
    <s v="C1127"/>
    <s v="Customer 51"/>
    <x v="1"/>
    <s v="Pune"/>
    <s v="Maharashtra"/>
    <x v="0"/>
    <x v="0"/>
    <s v="Laptop"/>
    <x v="334"/>
    <n v="81708.17"/>
    <n v="8"/>
    <n v="0.1"/>
    <n v="20092.259999999998"/>
    <x v="7"/>
    <x v="2"/>
  </r>
  <r>
    <n v="1339"/>
    <x v="58"/>
    <d v="2024-08-17T00:00:00"/>
    <s v="C1101"/>
    <s v="Customer 25"/>
    <x v="2"/>
    <s v="Ahmedabad"/>
    <s v="Gujarat"/>
    <x v="0"/>
    <x v="1"/>
    <s v="Table"/>
    <x v="335"/>
    <n v="42576.76"/>
    <n v="5"/>
    <n v="0"/>
    <n v="11545.63"/>
    <x v="6"/>
    <x v="2"/>
  </r>
  <r>
    <n v="1340"/>
    <x v="177"/>
    <d v="2024-01-12T00:00:00"/>
    <s v="C1131"/>
    <s v="Customer 256"/>
    <x v="2"/>
    <s v="Jaipur"/>
    <s v="Rajasthan"/>
    <x v="1"/>
    <x v="2"/>
    <s v="Pen"/>
    <x v="336"/>
    <n v="47966.23"/>
    <n v="10"/>
    <n v="0.1"/>
    <n v="3935.44"/>
    <x v="5"/>
    <x v="1"/>
  </r>
  <r>
    <n v="1341"/>
    <x v="77"/>
    <d v="2025-05-19T00:00:00"/>
    <s v="C1239"/>
    <s v="Customer 293"/>
    <x v="1"/>
    <s v="Pune"/>
    <s v="Maharashtra"/>
    <x v="0"/>
    <x v="1"/>
    <s v="Chair"/>
    <x v="337"/>
    <n v="49508.56"/>
    <n v="10"/>
    <n v="0"/>
    <n v="8101.32"/>
    <x v="5"/>
    <x v="1"/>
  </r>
  <r>
    <n v="1342"/>
    <x v="274"/>
    <d v="2024-12-20T00:00:00"/>
    <s v="C1152"/>
    <s v="Customer 203"/>
    <x v="0"/>
    <s v="Jaipur"/>
    <s v="Rajasthan"/>
    <x v="1"/>
    <x v="1"/>
    <s v="Table"/>
    <x v="338"/>
    <n v="8418.17"/>
    <n v="8"/>
    <n v="0.25"/>
    <n v="1492.63"/>
    <x v="1"/>
    <x v="0"/>
  </r>
  <r>
    <n v="1343"/>
    <x v="275"/>
    <d v="2025-11-17T00:00:00"/>
    <s v="C1023"/>
    <s v="Customer 234"/>
    <x v="2"/>
    <s v="Delhi"/>
    <s v="Delhi"/>
    <x v="1"/>
    <x v="1"/>
    <s v="Sofa"/>
    <x v="339"/>
    <n v="16127.62"/>
    <n v="9"/>
    <n v="0.1"/>
    <n v="2376.67"/>
    <x v="0"/>
    <x v="2"/>
  </r>
  <r>
    <n v="1344"/>
    <x v="276"/>
    <d v="2024-02-12T00:00:00"/>
    <s v="C1222"/>
    <s v="Customer 286"/>
    <x v="1"/>
    <s v="Delhi"/>
    <s v="Delhi"/>
    <x v="1"/>
    <x v="2"/>
    <s v="Notebook"/>
    <x v="340"/>
    <n v="76795.78"/>
    <n v="7"/>
    <n v="0"/>
    <n v="8108.46"/>
    <x v="4"/>
    <x v="2"/>
  </r>
  <r>
    <n v="1345"/>
    <x v="277"/>
    <d v="2025-06-07T00:00:00"/>
    <s v="C1097"/>
    <s v="Customer 69"/>
    <x v="2"/>
    <s v="Kolkata"/>
    <s v="West Bengal"/>
    <x v="3"/>
    <x v="1"/>
    <s v="Chair"/>
    <x v="341"/>
    <n v="10150.870000000001"/>
    <n v="2"/>
    <n v="0.3"/>
    <n v="574.65"/>
    <x v="4"/>
    <x v="0"/>
  </r>
  <r>
    <n v="1346"/>
    <x v="278"/>
    <d v="2024-11-13T00:00:00"/>
    <s v="C1146"/>
    <s v="Customer 198"/>
    <x v="1"/>
    <s v="Delhi"/>
    <s v="Delhi"/>
    <x v="1"/>
    <x v="1"/>
    <s v="Table"/>
    <x v="342"/>
    <n v="68758.87"/>
    <n v="5"/>
    <n v="0.05"/>
    <n v="7072.81"/>
    <x v="4"/>
    <x v="3"/>
  </r>
  <r>
    <n v="1347"/>
    <x v="279"/>
    <d v="2024-01-25T00:00:00"/>
    <s v="C1103"/>
    <s v="Customer 57"/>
    <x v="1"/>
    <s v="Pune"/>
    <s v="Maharashtra"/>
    <x v="0"/>
    <x v="0"/>
    <s v="Laptop"/>
    <x v="343"/>
    <n v="68866.87"/>
    <n v="2"/>
    <n v="0"/>
    <n v="7017.45"/>
    <x v="2"/>
    <x v="2"/>
  </r>
  <r>
    <n v="1348"/>
    <x v="81"/>
    <d v="2024-11-25T00:00:00"/>
    <s v="C1077"/>
    <s v="Customer 292"/>
    <x v="1"/>
    <s v="Pune"/>
    <s v="Maharashtra"/>
    <x v="0"/>
    <x v="2"/>
    <s v="Pen"/>
    <x v="344"/>
    <n v="16277.36"/>
    <n v="6"/>
    <n v="0.2"/>
    <n v="2519.2199999999998"/>
    <x v="2"/>
    <x v="2"/>
  </r>
  <r>
    <n v="1349"/>
    <x v="280"/>
    <d v="2024-02-12T00:00:00"/>
    <s v="C1134"/>
    <s v="Customer 183"/>
    <x v="1"/>
    <s v="Delhi"/>
    <s v="Delhi"/>
    <x v="1"/>
    <x v="1"/>
    <s v="Sofa"/>
    <x v="345"/>
    <n v="87238.24"/>
    <n v="1"/>
    <n v="0.25"/>
    <n v="11120.1"/>
    <x v="2"/>
    <x v="0"/>
  </r>
  <r>
    <n v="1350"/>
    <x v="281"/>
    <d v="2024-02-06T00:00:00"/>
    <s v="C1137"/>
    <s v="Customer 134"/>
    <x v="2"/>
    <s v="Chennai"/>
    <s v="Tamil Nadu"/>
    <x v="2"/>
    <x v="1"/>
    <s v="Bookcase"/>
    <x v="346"/>
    <n v="25067.05"/>
    <n v="4"/>
    <n v="0.1"/>
    <n v="6305.05"/>
    <x v="0"/>
    <x v="1"/>
  </r>
  <r>
    <n v="1351"/>
    <x v="38"/>
    <d v="2024-12-23T00:00:00"/>
    <s v="C1262"/>
    <s v="Customer 114"/>
    <x v="1"/>
    <s v="Lucknow"/>
    <s v="Uttar Pradesh"/>
    <x v="1"/>
    <x v="0"/>
    <s v="Phone"/>
    <x v="347"/>
    <n v="82787.91"/>
    <n v="4"/>
    <n v="0.05"/>
    <n v="14032.73"/>
    <x v="2"/>
    <x v="2"/>
  </r>
  <r>
    <n v="1352"/>
    <x v="5"/>
    <d v="2025-05-23T00:00:00"/>
    <s v="C1134"/>
    <s v="Customer 21"/>
    <x v="1"/>
    <s v="Jaipur"/>
    <s v="Rajasthan"/>
    <x v="1"/>
    <x v="1"/>
    <s v="Chair"/>
    <x v="348"/>
    <n v="3135.45"/>
    <n v="6"/>
    <n v="0.15"/>
    <n v="143.58000000000001"/>
    <x v="4"/>
    <x v="0"/>
  </r>
  <r>
    <n v="1353"/>
    <x v="108"/>
    <d v="2025-06-26T00:00:00"/>
    <s v="C1051"/>
    <s v="Customer 286"/>
    <x v="2"/>
    <s v="Lucknow"/>
    <s v="Uttar Pradesh"/>
    <x v="1"/>
    <x v="1"/>
    <s v="Table"/>
    <x v="349"/>
    <n v="49247.81"/>
    <n v="4"/>
    <n v="0.25"/>
    <n v="1542.16"/>
    <x v="4"/>
    <x v="1"/>
  </r>
  <r>
    <n v="1354"/>
    <x v="282"/>
    <d v="2025-09-28T00:00:00"/>
    <s v="C1242"/>
    <s v="Customer 244"/>
    <x v="2"/>
    <s v="Pune"/>
    <s v="Maharashtra"/>
    <x v="0"/>
    <x v="1"/>
    <s v="Chair"/>
    <x v="350"/>
    <n v="8333.42"/>
    <n v="6"/>
    <n v="0.1"/>
    <n v="1939.66"/>
    <x v="6"/>
    <x v="1"/>
  </r>
  <r>
    <n v="1355"/>
    <x v="263"/>
    <d v="2025-05-06T00:00:00"/>
    <s v="C1065"/>
    <s v="Customer 174"/>
    <x v="1"/>
    <s v="Jaipur"/>
    <s v="Rajasthan"/>
    <x v="1"/>
    <x v="1"/>
    <s v="Bookcase"/>
    <x v="351"/>
    <n v="89667.75"/>
    <n v="1"/>
    <n v="0"/>
    <n v="17311.759999999998"/>
    <x v="4"/>
    <x v="3"/>
  </r>
  <r>
    <n v="1356"/>
    <x v="283"/>
    <d v="2025-01-05T00:00:00"/>
    <s v="C1142"/>
    <s v="Customer 128"/>
    <x v="0"/>
    <s v="Mumbai"/>
    <s v="Maharashtra"/>
    <x v="0"/>
    <x v="1"/>
    <s v="Table"/>
    <x v="352"/>
    <n v="74964.75"/>
    <n v="8"/>
    <n v="0.1"/>
    <n v="9125.15"/>
    <x v="4"/>
    <x v="2"/>
  </r>
  <r>
    <n v="1357"/>
    <x v="284"/>
    <d v="2025-12-20T00:00:00"/>
    <s v="C1109"/>
    <s v="Customer 139"/>
    <x v="0"/>
    <s v="Patna"/>
    <s v="Bihar"/>
    <x v="3"/>
    <x v="2"/>
    <s v="Notebook"/>
    <x v="353"/>
    <n v="12092.05"/>
    <n v="2"/>
    <n v="0.3"/>
    <n v="-2.89"/>
    <x v="0"/>
    <x v="0"/>
  </r>
  <r>
    <n v="1358"/>
    <x v="285"/>
    <d v="2024-03-05T00:00:00"/>
    <s v="C1141"/>
    <s v="Customer 195"/>
    <x v="1"/>
    <s v="Pune"/>
    <s v="Maharashtra"/>
    <x v="0"/>
    <x v="1"/>
    <s v="Bookcase"/>
    <x v="354"/>
    <n v="49188.01"/>
    <n v="1"/>
    <n v="0.2"/>
    <n v="1952.63"/>
    <x v="3"/>
    <x v="3"/>
  </r>
  <r>
    <n v="1359"/>
    <x v="9"/>
    <d v="2024-01-03T00:00:00"/>
    <s v="C1225"/>
    <s v="Customer 257"/>
    <x v="2"/>
    <s v="Patna"/>
    <s v="Bihar"/>
    <x v="3"/>
    <x v="0"/>
    <s v="Monitor"/>
    <x v="355"/>
    <n v="12287.74"/>
    <n v="5"/>
    <n v="0.2"/>
    <n v="1476.59"/>
    <x v="7"/>
    <x v="1"/>
  </r>
  <r>
    <n v="1360"/>
    <x v="286"/>
    <d v="2024-10-15T00:00:00"/>
    <s v="C1091"/>
    <s v="Customer 46"/>
    <x v="1"/>
    <s v="Delhi"/>
    <s v="Delhi"/>
    <x v="1"/>
    <x v="2"/>
    <s v="Pen"/>
    <x v="356"/>
    <n v="9923.2199999999993"/>
    <n v="10"/>
    <n v="0.3"/>
    <n v="-333.8"/>
    <x v="4"/>
    <x v="0"/>
  </r>
  <r>
    <n v="1361"/>
    <x v="287"/>
    <d v="2024-01-29T00:00:00"/>
    <s v="C1186"/>
    <s v="Customer 22"/>
    <x v="1"/>
    <s v="Chennai"/>
    <s v="Tamil Nadu"/>
    <x v="2"/>
    <x v="1"/>
    <s v="Sofa"/>
    <x v="89"/>
    <n v="41292.81"/>
    <n v="2"/>
    <n v="0.25"/>
    <n v="4106.78"/>
    <x v="2"/>
    <x v="3"/>
  </r>
  <r>
    <n v="1362"/>
    <x v="71"/>
    <d v="2024-08-29T00:00:00"/>
    <s v="C1124"/>
    <s v="Customer 77"/>
    <x v="1"/>
    <s v="Delhi"/>
    <s v="Delhi"/>
    <x v="1"/>
    <x v="2"/>
    <s v="Storage"/>
    <x v="357"/>
    <n v="56003.22"/>
    <n v="8"/>
    <n v="0"/>
    <n v="13954.31"/>
    <x v="4"/>
    <x v="1"/>
  </r>
  <r>
    <n v="1363"/>
    <x v="288"/>
    <d v="2024-06-09T00:00:00"/>
    <s v="C1186"/>
    <s v="Customer 240"/>
    <x v="2"/>
    <s v="Lucknow"/>
    <s v="Uttar Pradesh"/>
    <x v="1"/>
    <x v="0"/>
    <s v="Monitor"/>
    <x v="358"/>
    <n v="15994.52"/>
    <n v="1"/>
    <n v="0"/>
    <n v="3301.36"/>
    <x v="4"/>
    <x v="0"/>
  </r>
  <r>
    <n v="1364"/>
    <x v="158"/>
    <d v="2025-05-10T00:00:00"/>
    <s v="C1282"/>
    <s v="Customer 86"/>
    <x v="1"/>
    <s v="Kolkata"/>
    <s v="West Bengal"/>
    <x v="3"/>
    <x v="2"/>
    <s v="Paper"/>
    <x v="359"/>
    <n v="43154.65"/>
    <n v="4"/>
    <n v="0.25"/>
    <n v="8051.21"/>
    <x v="7"/>
    <x v="2"/>
  </r>
  <r>
    <n v="1365"/>
    <x v="4"/>
    <d v="2024-07-16T00:00:00"/>
    <s v="C1148"/>
    <s v="Customer 66"/>
    <x v="2"/>
    <s v="Ahmedabad"/>
    <s v="Gujarat"/>
    <x v="0"/>
    <x v="2"/>
    <s v="Pen"/>
    <x v="360"/>
    <n v="21189.15"/>
    <n v="9"/>
    <n v="0.25"/>
    <n v="3872.79"/>
    <x v="0"/>
    <x v="1"/>
  </r>
  <r>
    <n v="1366"/>
    <x v="106"/>
    <d v="2024-02-18T00:00:00"/>
    <s v="C1158"/>
    <s v="Customer 174"/>
    <x v="0"/>
    <s v="Delhi"/>
    <s v="Delhi"/>
    <x v="1"/>
    <x v="1"/>
    <s v="Chair"/>
    <x v="361"/>
    <n v="30725.48"/>
    <n v="4"/>
    <n v="0.05"/>
    <n v="6876.79"/>
    <x v="6"/>
    <x v="1"/>
  </r>
  <r>
    <n v="1367"/>
    <x v="289"/>
    <d v="2025-02-18T00:00:00"/>
    <s v="C1283"/>
    <s v="Customer 206"/>
    <x v="1"/>
    <s v="Kolkata"/>
    <s v="West Bengal"/>
    <x v="3"/>
    <x v="2"/>
    <s v="Paper"/>
    <x v="362"/>
    <n v="28901.02"/>
    <n v="1"/>
    <n v="0.1"/>
    <n v="1380.51"/>
    <x v="4"/>
    <x v="1"/>
  </r>
  <r>
    <n v="1368"/>
    <x v="290"/>
    <d v="2024-05-13T00:00:00"/>
    <s v="C1003"/>
    <s v="Customer 11"/>
    <x v="2"/>
    <s v="Bengaluru"/>
    <s v="Karnataka"/>
    <x v="2"/>
    <x v="0"/>
    <s v="Phone"/>
    <x v="363"/>
    <n v="60876.74"/>
    <n v="6"/>
    <n v="0.25"/>
    <n v="8155.61"/>
    <x v="4"/>
    <x v="3"/>
  </r>
  <r>
    <n v="1369"/>
    <x v="231"/>
    <d v="2024-01-19T00:00:00"/>
    <s v="C1231"/>
    <s v="Customer 74"/>
    <x v="1"/>
    <s v="Hyderabad"/>
    <s v="Telangana"/>
    <x v="2"/>
    <x v="2"/>
    <s v="Storage"/>
    <x v="364"/>
    <n v="31408.78"/>
    <n v="7"/>
    <n v="0.3"/>
    <n v="4259.49"/>
    <x v="2"/>
    <x v="3"/>
  </r>
  <r>
    <n v="1370"/>
    <x v="177"/>
    <d v="2024-01-13T00:00:00"/>
    <s v="C1014"/>
    <s v="Customer 54"/>
    <x v="1"/>
    <s v="Chennai"/>
    <s v="Tamil Nadu"/>
    <x v="2"/>
    <x v="0"/>
    <s v="Monitor"/>
    <x v="365"/>
    <n v="9458.1"/>
    <n v="8"/>
    <n v="0.3"/>
    <n v="888.54"/>
    <x v="3"/>
    <x v="0"/>
  </r>
  <r>
    <n v="1371"/>
    <x v="291"/>
    <d v="2025-03-27T00:00:00"/>
    <s v="C1169"/>
    <s v="Customer 213"/>
    <x v="0"/>
    <s v="Lucknow"/>
    <s v="Uttar Pradesh"/>
    <x v="1"/>
    <x v="1"/>
    <s v="Table"/>
    <x v="366"/>
    <n v="64483.46"/>
    <n v="10"/>
    <n v="0.05"/>
    <n v="11155.7"/>
    <x v="3"/>
    <x v="1"/>
  </r>
  <r>
    <n v="1372"/>
    <x v="189"/>
    <d v="2024-04-03T00:00:00"/>
    <s v="C1081"/>
    <s v="Customer 160"/>
    <x v="1"/>
    <s v="Patna"/>
    <s v="Bihar"/>
    <x v="3"/>
    <x v="1"/>
    <s v="Sofa"/>
    <x v="367"/>
    <n v="49039.53"/>
    <n v="2"/>
    <n v="0.15"/>
    <n v="7523.13"/>
    <x v="2"/>
    <x v="2"/>
  </r>
  <r>
    <n v="1373"/>
    <x v="275"/>
    <d v="2025-11-19T00:00:00"/>
    <s v="C1261"/>
    <s v="Customer 84"/>
    <x v="1"/>
    <s v="Mumbai"/>
    <s v="Maharashtra"/>
    <x v="0"/>
    <x v="2"/>
    <s v="Paper"/>
    <x v="368"/>
    <n v="51301.38"/>
    <n v="4"/>
    <n v="0.05"/>
    <n v="13817.44"/>
    <x v="1"/>
    <x v="2"/>
  </r>
  <r>
    <n v="1374"/>
    <x v="33"/>
    <d v="2025-12-23T00:00:00"/>
    <s v="C1183"/>
    <s v="Customer 277"/>
    <x v="2"/>
    <s v="Bhubaneswar"/>
    <s v="Odisha"/>
    <x v="3"/>
    <x v="2"/>
    <s v="Pen"/>
    <x v="369"/>
    <n v="53645.36"/>
    <n v="3"/>
    <n v="0.1"/>
    <n v="13091.61"/>
    <x v="6"/>
    <x v="2"/>
  </r>
  <r>
    <n v="1375"/>
    <x v="156"/>
    <d v="2025-06-21T00:00:00"/>
    <s v="C1165"/>
    <s v="Customer 188"/>
    <x v="2"/>
    <s v="Patna"/>
    <s v="Bihar"/>
    <x v="3"/>
    <x v="2"/>
    <s v="Storage"/>
    <x v="370"/>
    <n v="54616.480000000003"/>
    <n v="2"/>
    <n v="0.1"/>
    <n v="6512.36"/>
    <x v="1"/>
    <x v="1"/>
  </r>
  <r>
    <n v="1376"/>
    <x v="292"/>
    <d v="2024-01-13T00:00:00"/>
    <s v="C1139"/>
    <s v="Customer 193"/>
    <x v="0"/>
    <s v="Bhubaneswar"/>
    <s v="Odisha"/>
    <x v="3"/>
    <x v="1"/>
    <s v="Sofa"/>
    <x v="371"/>
    <n v="76222.38"/>
    <n v="10"/>
    <n v="0.3"/>
    <n v="-237.58"/>
    <x v="2"/>
    <x v="2"/>
  </r>
  <r>
    <n v="1377"/>
    <x v="293"/>
    <d v="2024-09-22T00:00:00"/>
    <s v="C1213"/>
    <s v="Customer 107"/>
    <x v="0"/>
    <s v="Kolkata"/>
    <s v="West Bengal"/>
    <x v="3"/>
    <x v="0"/>
    <s v="Mouse"/>
    <x v="372"/>
    <n v="51024.81"/>
    <n v="1"/>
    <n v="0.1"/>
    <n v="13026.24"/>
    <x v="1"/>
    <x v="1"/>
  </r>
  <r>
    <n v="1378"/>
    <x v="294"/>
    <d v="2025-08-04T00:00:00"/>
    <s v="C1208"/>
    <s v="Customer 51"/>
    <x v="2"/>
    <s v="Delhi"/>
    <s v="Delhi"/>
    <x v="1"/>
    <x v="2"/>
    <s v="Notebook"/>
    <x v="373"/>
    <n v="19005.64"/>
    <n v="1"/>
    <n v="0.2"/>
    <n v="3295.43"/>
    <x v="7"/>
    <x v="1"/>
  </r>
  <r>
    <n v="1379"/>
    <x v="8"/>
    <d v="2024-09-26T00:00:00"/>
    <s v="C1183"/>
    <s v="Customer 14"/>
    <x v="2"/>
    <s v="Lucknow"/>
    <s v="Uttar Pradesh"/>
    <x v="1"/>
    <x v="1"/>
    <s v="Sofa"/>
    <x v="374"/>
    <n v="60738.09"/>
    <n v="2"/>
    <n v="0"/>
    <n v="8923.5400000000009"/>
    <x v="0"/>
    <x v="3"/>
  </r>
  <r>
    <n v="1380"/>
    <x v="295"/>
    <d v="2024-02-12T00:00:00"/>
    <s v="C1093"/>
    <s v="Customer 196"/>
    <x v="0"/>
    <s v="Hyderabad"/>
    <s v="Telangana"/>
    <x v="2"/>
    <x v="0"/>
    <s v="Mouse"/>
    <x v="375"/>
    <n v="23577.78"/>
    <n v="1"/>
    <n v="0.3"/>
    <n v="4107.21"/>
    <x v="0"/>
    <x v="3"/>
  </r>
  <r>
    <n v="1381"/>
    <x v="296"/>
    <d v="2024-09-15T00:00:00"/>
    <s v="C1130"/>
    <s v="Customer 181"/>
    <x v="0"/>
    <s v="Lucknow"/>
    <s v="Uttar Pradesh"/>
    <x v="1"/>
    <x v="1"/>
    <s v="Table"/>
    <x v="376"/>
    <n v="33037.839999999997"/>
    <n v="2"/>
    <n v="0.3"/>
    <n v="4626.9399999999996"/>
    <x v="6"/>
    <x v="2"/>
  </r>
  <r>
    <n v="1382"/>
    <x v="248"/>
    <d v="2025-06-12T00:00:00"/>
    <s v="C1187"/>
    <s v="Customer 15"/>
    <x v="2"/>
    <s v="Pune"/>
    <s v="Maharashtra"/>
    <x v="0"/>
    <x v="1"/>
    <s v="Chair"/>
    <x v="377"/>
    <n v="76197.759999999995"/>
    <n v="8"/>
    <n v="0.25"/>
    <n v="4471.1499999999996"/>
    <x v="1"/>
    <x v="0"/>
  </r>
  <r>
    <n v="1383"/>
    <x v="297"/>
    <d v="2025-08-03T00:00:00"/>
    <s v="C1130"/>
    <s v="Customer 293"/>
    <x v="1"/>
    <s v="Delhi"/>
    <s v="Delhi"/>
    <x v="1"/>
    <x v="2"/>
    <s v="Paper"/>
    <x v="378"/>
    <n v="68645.490000000005"/>
    <n v="6"/>
    <n v="0.2"/>
    <n v="13777.24"/>
    <x v="1"/>
    <x v="2"/>
  </r>
  <r>
    <n v="1384"/>
    <x v="298"/>
    <d v="2025-02-06T00:00:00"/>
    <s v="C1198"/>
    <s v="Customer 30"/>
    <x v="1"/>
    <s v="Kolkata"/>
    <s v="West Bengal"/>
    <x v="3"/>
    <x v="1"/>
    <s v="Sofa"/>
    <x v="379"/>
    <n v="40698.86"/>
    <n v="3"/>
    <n v="0.15"/>
    <n v="8290.68"/>
    <x v="4"/>
    <x v="3"/>
  </r>
  <r>
    <n v="1385"/>
    <x v="299"/>
    <d v="2024-03-21T00:00:00"/>
    <s v="C1294"/>
    <s v="Customer 102"/>
    <x v="0"/>
    <s v="Kolkata"/>
    <s v="West Bengal"/>
    <x v="3"/>
    <x v="1"/>
    <s v="Table"/>
    <x v="380"/>
    <n v="57628.82"/>
    <n v="4"/>
    <n v="0.05"/>
    <n v="4620.5"/>
    <x v="3"/>
    <x v="3"/>
  </r>
  <r>
    <n v="1386"/>
    <x v="300"/>
    <d v="2024-05-31T00:00:00"/>
    <s v="C1207"/>
    <s v="Customer 25"/>
    <x v="2"/>
    <s v="Delhi"/>
    <s v="Delhi"/>
    <x v="1"/>
    <x v="2"/>
    <s v="Binder"/>
    <x v="381"/>
    <n v="18518.900000000001"/>
    <n v="1"/>
    <n v="0.05"/>
    <n v="2100.23"/>
    <x v="1"/>
    <x v="1"/>
  </r>
  <r>
    <n v="1387"/>
    <x v="301"/>
    <d v="2025-09-07T00:00:00"/>
    <s v="C1283"/>
    <s v="Customer 169"/>
    <x v="0"/>
    <s v="Bengaluru"/>
    <s v="Karnataka"/>
    <x v="2"/>
    <x v="0"/>
    <s v="Keyboard"/>
    <x v="382"/>
    <n v="4237.88"/>
    <n v="2"/>
    <n v="0.1"/>
    <n v="289.02"/>
    <x v="5"/>
    <x v="0"/>
  </r>
  <r>
    <n v="1388"/>
    <x v="302"/>
    <d v="2025-01-12T00:00:00"/>
    <s v="C1163"/>
    <s v="Customer 135"/>
    <x v="1"/>
    <s v="Kolkata"/>
    <s v="West Bengal"/>
    <x v="3"/>
    <x v="2"/>
    <s v="Storage"/>
    <x v="383"/>
    <n v="71299.039999999994"/>
    <n v="7"/>
    <n v="0.1"/>
    <n v="9666.24"/>
    <x v="5"/>
    <x v="1"/>
  </r>
  <r>
    <n v="1389"/>
    <x v="303"/>
    <d v="2025-12-21T00:00:00"/>
    <s v="C1100"/>
    <s v="Customer 142"/>
    <x v="0"/>
    <s v="Kolkata"/>
    <s v="West Bengal"/>
    <x v="3"/>
    <x v="2"/>
    <s v="Pen"/>
    <x v="384"/>
    <n v="49175.26"/>
    <n v="4"/>
    <n v="0.05"/>
    <n v="6895.05"/>
    <x v="7"/>
    <x v="1"/>
  </r>
  <r>
    <n v="1390"/>
    <x v="106"/>
    <d v="2024-02-20T00:00:00"/>
    <s v="C1222"/>
    <s v="Customer 195"/>
    <x v="1"/>
    <s v="Pune"/>
    <s v="Maharashtra"/>
    <x v="0"/>
    <x v="0"/>
    <s v="Mouse"/>
    <x v="385"/>
    <n v="43164.88"/>
    <n v="3"/>
    <n v="0.05"/>
    <n v="10719.13"/>
    <x v="2"/>
    <x v="2"/>
  </r>
  <r>
    <n v="1391"/>
    <x v="19"/>
    <d v="2025-06-12T00:00:00"/>
    <s v="C1041"/>
    <s v="Customer 23"/>
    <x v="1"/>
    <s v="Mumbai"/>
    <s v="Maharashtra"/>
    <x v="0"/>
    <x v="1"/>
    <s v="Bookcase"/>
    <x v="386"/>
    <n v="74370.36"/>
    <n v="9"/>
    <n v="0.1"/>
    <n v="8620.16"/>
    <x v="7"/>
    <x v="0"/>
  </r>
  <r>
    <n v="1392"/>
    <x v="283"/>
    <d v="2025-01-08T00:00:00"/>
    <s v="C1017"/>
    <s v="Customer 79"/>
    <x v="1"/>
    <s v="Ahmedabad"/>
    <s v="Gujarat"/>
    <x v="0"/>
    <x v="1"/>
    <s v="Chair"/>
    <x v="387"/>
    <n v="59261.96"/>
    <n v="1"/>
    <n v="0.05"/>
    <n v="6970.24"/>
    <x v="5"/>
    <x v="1"/>
  </r>
  <r>
    <n v="1393"/>
    <x v="304"/>
    <d v="2024-05-31T00:00:00"/>
    <s v="C1200"/>
    <s v="Customer 215"/>
    <x v="2"/>
    <s v="Ahmedabad"/>
    <s v="Gujarat"/>
    <x v="0"/>
    <x v="0"/>
    <s v="Phone"/>
    <x v="388"/>
    <n v="18480.88"/>
    <n v="1"/>
    <n v="0.3"/>
    <n v="2211.0100000000002"/>
    <x v="1"/>
    <x v="0"/>
  </r>
  <r>
    <n v="1394"/>
    <x v="197"/>
    <d v="2024-10-25T00:00:00"/>
    <s v="C1021"/>
    <s v="Customer 259"/>
    <x v="0"/>
    <s v="Patna"/>
    <s v="Bihar"/>
    <x v="3"/>
    <x v="0"/>
    <s v="Mouse"/>
    <x v="389"/>
    <n v="63403.15"/>
    <n v="3"/>
    <n v="0.05"/>
    <n v="5946.12"/>
    <x v="3"/>
    <x v="2"/>
  </r>
  <r>
    <n v="1395"/>
    <x v="305"/>
    <d v="2025-12-14T00:00:00"/>
    <s v="C1146"/>
    <s v="Customer 270"/>
    <x v="1"/>
    <s v="Kolkata"/>
    <s v="West Bengal"/>
    <x v="3"/>
    <x v="0"/>
    <s v="Monitor"/>
    <x v="390"/>
    <n v="79099.520000000004"/>
    <n v="2"/>
    <n v="0.1"/>
    <n v="12686.12"/>
    <x v="7"/>
    <x v="1"/>
  </r>
  <r>
    <n v="1396"/>
    <x v="306"/>
    <d v="2024-08-09T00:00:00"/>
    <s v="C1142"/>
    <s v="Customer 200"/>
    <x v="2"/>
    <s v="Ahmedabad"/>
    <s v="Gujarat"/>
    <x v="0"/>
    <x v="1"/>
    <s v="Table"/>
    <x v="391"/>
    <n v="4111.71"/>
    <n v="2"/>
    <n v="0.25"/>
    <n v="164.8"/>
    <x v="7"/>
    <x v="3"/>
  </r>
  <r>
    <n v="1397"/>
    <x v="211"/>
    <d v="2024-09-11T00:00:00"/>
    <s v="C1181"/>
    <s v="Customer 119"/>
    <x v="0"/>
    <s v="Jaipur"/>
    <s v="Rajasthan"/>
    <x v="1"/>
    <x v="2"/>
    <s v="Notebook"/>
    <x v="392"/>
    <n v="74581.740000000005"/>
    <n v="1"/>
    <n v="0.05"/>
    <n v="9801.4699999999993"/>
    <x v="5"/>
    <x v="0"/>
  </r>
  <r>
    <n v="1398"/>
    <x v="307"/>
    <d v="2025-07-17T00:00:00"/>
    <s v="C1278"/>
    <s v="Customer 121"/>
    <x v="0"/>
    <s v="Kolkata"/>
    <s v="West Bengal"/>
    <x v="3"/>
    <x v="0"/>
    <s v="Laptop"/>
    <x v="393"/>
    <n v="44075.14"/>
    <n v="10"/>
    <n v="0.25"/>
    <n v="2724.76"/>
    <x v="7"/>
    <x v="3"/>
  </r>
  <r>
    <n v="1399"/>
    <x v="254"/>
    <d v="2025-07-06T00:00:00"/>
    <s v="C1288"/>
    <s v="Customer 283"/>
    <x v="1"/>
    <s v="Bengaluru"/>
    <s v="Karnataka"/>
    <x v="2"/>
    <x v="2"/>
    <s v="Storage"/>
    <x v="394"/>
    <n v="66781.539999999994"/>
    <n v="10"/>
    <n v="0.1"/>
    <n v="3910.08"/>
    <x v="4"/>
    <x v="1"/>
  </r>
  <r>
    <n v="1400"/>
    <x v="308"/>
    <d v="2024-01-09T00:00:00"/>
    <s v="C1297"/>
    <s v="Customer 110"/>
    <x v="0"/>
    <s v="Delhi"/>
    <s v="Delhi"/>
    <x v="1"/>
    <x v="2"/>
    <s v="Notebook"/>
    <x v="395"/>
    <n v="2332.9299999999998"/>
    <n v="5"/>
    <n v="0.25"/>
    <n v="131.29"/>
    <x v="1"/>
    <x v="1"/>
  </r>
  <r>
    <n v="1401"/>
    <x v="217"/>
    <d v="2025-10-07T00:00:00"/>
    <s v="C1134"/>
    <s v="Customer 65"/>
    <x v="1"/>
    <s v="Bhubaneswar"/>
    <s v="Odisha"/>
    <x v="3"/>
    <x v="0"/>
    <s v="Monitor"/>
    <x v="396"/>
    <n v="32428.16"/>
    <n v="1"/>
    <n v="0.05"/>
    <n v="5218.01"/>
    <x v="7"/>
    <x v="1"/>
  </r>
  <r>
    <n v="1402"/>
    <x v="140"/>
    <d v="2025-10-22T00:00:00"/>
    <s v="C1108"/>
    <s v="Customer 171"/>
    <x v="2"/>
    <s v="Jaipur"/>
    <s v="Rajasthan"/>
    <x v="1"/>
    <x v="2"/>
    <s v="Storage"/>
    <x v="397"/>
    <n v="20956.68"/>
    <n v="8"/>
    <n v="0.05"/>
    <n v="2622.36"/>
    <x v="3"/>
    <x v="3"/>
  </r>
  <r>
    <n v="1403"/>
    <x v="237"/>
    <d v="2024-04-25T00:00:00"/>
    <s v="C1248"/>
    <s v="Customer 183"/>
    <x v="0"/>
    <s v="Kolkata"/>
    <s v="West Bengal"/>
    <x v="3"/>
    <x v="0"/>
    <s v="Mouse"/>
    <x v="398"/>
    <n v="22787.81"/>
    <n v="3"/>
    <n v="0.25"/>
    <n v="163.44"/>
    <x v="7"/>
    <x v="1"/>
  </r>
  <r>
    <n v="1404"/>
    <x v="309"/>
    <d v="2024-12-04T00:00:00"/>
    <s v="C1118"/>
    <s v="Customer 263"/>
    <x v="1"/>
    <s v="Kolkata"/>
    <s v="West Bengal"/>
    <x v="3"/>
    <x v="2"/>
    <s v="Pen"/>
    <x v="399"/>
    <n v="50120.03"/>
    <n v="7"/>
    <n v="0.25"/>
    <n v="414.32"/>
    <x v="4"/>
    <x v="3"/>
  </r>
  <r>
    <n v="1405"/>
    <x v="310"/>
    <d v="2024-04-21T00:00:00"/>
    <s v="C1142"/>
    <s v="Customer 130"/>
    <x v="1"/>
    <s v="Chennai"/>
    <s v="Tamil Nadu"/>
    <x v="2"/>
    <x v="0"/>
    <s v="Mouse"/>
    <x v="400"/>
    <n v="13366.77"/>
    <n v="4"/>
    <n v="0.25"/>
    <n v="323.98"/>
    <x v="2"/>
    <x v="1"/>
  </r>
  <r>
    <n v="1406"/>
    <x v="311"/>
    <d v="2025-03-14T00:00:00"/>
    <s v="C1072"/>
    <s v="Customer 289"/>
    <x v="2"/>
    <s v="Patna"/>
    <s v="Bihar"/>
    <x v="3"/>
    <x v="0"/>
    <s v="Phone"/>
    <x v="401"/>
    <n v="30343.23"/>
    <n v="7"/>
    <n v="0.1"/>
    <n v="4210.7700000000004"/>
    <x v="1"/>
    <x v="2"/>
  </r>
  <r>
    <n v="1407"/>
    <x v="269"/>
    <d v="2025-05-30T00:00:00"/>
    <s v="C1193"/>
    <s v="Customer 183"/>
    <x v="2"/>
    <s v="Hyderabad"/>
    <s v="Telangana"/>
    <x v="2"/>
    <x v="2"/>
    <s v="Binder"/>
    <x v="402"/>
    <n v="86052.47"/>
    <n v="8"/>
    <n v="0.25"/>
    <n v="368.97"/>
    <x v="3"/>
    <x v="1"/>
  </r>
  <r>
    <n v="1408"/>
    <x v="196"/>
    <d v="2025-07-23T00:00:00"/>
    <s v="C1085"/>
    <s v="Customer 134"/>
    <x v="0"/>
    <s v="Lucknow"/>
    <s v="Uttar Pradesh"/>
    <x v="1"/>
    <x v="1"/>
    <s v="Chair"/>
    <x v="230"/>
    <n v="78177.03"/>
    <n v="10"/>
    <n v="0.2"/>
    <n v="9669.42"/>
    <x v="5"/>
    <x v="3"/>
  </r>
  <r>
    <n v="1409"/>
    <x v="251"/>
    <d v="2025-04-27T00:00:00"/>
    <s v="C1112"/>
    <s v="Customer 241"/>
    <x v="0"/>
    <s v="Mumbai"/>
    <s v="Maharashtra"/>
    <x v="0"/>
    <x v="0"/>
    <s v="Monitor"/>
    <x v="403"/>
    <n v="46005.43"/>
    <n v="5"/>
    <n v="0.3"/>
    <n v="178.16"/>
    <x v="7"/>
    <x v="0"/>
  </r>
  <r>
    <n v="1410"/>
    <x v="312"/>
    <d v="2025-08-19T00:00:00"/>
    <s v="C1069"/>
    <s v="Customer 160"/>
    <x v="0"/>
    <s v="Jaipur"/>
    <s v="Rajasthan"/>
    <x v="1"/>
    <x v="1"/>
    <s v="Chair"/>
    <x v="404"/>
    <n v="81561.210000000006"/>
    <n v="2"/>
    <n v="0"/>
    <n v="18887.5"/>
    <x v="0"/>
    <x v="0"/>
  </r>
  <r>
    <n v="1411"/>
    <x v="51"/>
    <d v="2025-09-25T00:00:00"/>
    <s v="C1127"/>
    <s v="Customer 87"/>
    <x v="1"/>
    <s v="Delhi"/>
    <s v="Delhi"/>
    <x v="1"/>
    <x v="1"/>
    <s v="Chair"/>
    <x v="405"/>
    <n v="15737.22"/>
    <n v="7"/>
    <n v="0.25"/>
    <n v="2403.16"/>
    <x v="6"/>
    <x v="0"/>
  </r>
  <r>
    <n v="1412"/>
    <x v="313"/>
    <d v="2024-08-18T00:00:00"/>
    <s v="C1055"/>
    <s v="Customer 124"/>
    <x v="1"/>
    <s v="Chennai"/>
    <s v="Tamil Nadu"/>
    <x v="2"/>
    <x v="1"/>
    <s v="Table"/>
    <x v="406"/>
    <n v="77885.59"/>
    <n v="4"/>
    <n v="0.05"/>
    <n v="8551.6299999999992"/>
    <x v="7"/>
    <x v="1"/>
  </r>
  <r>
    <n v="1413"/>
    <x v="314"/>
    <d v="2024-05-04T00:00:00"/>
    <s v="C1035"/>
    <s v="Customer 113"/>
    <x v="1"/>
    <s v="Lucknow"/>
    <s v="Uttar Pradesh"/>
    <x v="1"/>
    <x v="1"/>
    <s v="Chair"/>
    <x v="407"/>
    <n v="4895.96"/>
    <n v="1"/>
    <n v="0"/>
    <n v="1004.79"/>
    <x v="6"/>
    <x v="3"/>
  </r>
  <r>
    <n v="1414"/>
    <x v="309"/>
    <d v="2024-12-04T00:00:00"/>
    <s v="C1063"/>
    <s v="Customer 31"/>
    <x v="1"/>
    <s v="Patna"/>
    <s v="Bihar"/>
    <x v="3"/>
    <x v="0"/>
    <s v="Phone"/>
    <x v="408"/>
    <n v="22138.42"/>
    <n v="2"/>
    <n v="0.05"/>
    <n v="3876.04"/>
    <x v="6"/>
    <x v="2"/>
  </r>
  <r>
    <n v="1415"/>
    <x v="275"/>
    <d v="2025-11-17T00:00:00"/>
    <s v="C1216"/>
    <s v="Customer 294"/>
    <x v="2"/>
    <s v="Bhubaneswar"/>
    <s v="Odisha"/>
    <x v="3"/>
    <x v="1"/>
    <s v="Sofa"/>
    <x v="409"/>
    <n v="33936.29"/>
    <n v="9"/>
    <n v="0.25"/>
    <n v="1685.02"/>
    <x v="3"/>
    <x v="0"/>
  </r>
  <r>
    <n v="1416"/>
    <x v="315"/>
    <d v="2024-09-19T00:00:00"/>
    <s v="C1035"/>
    <s v="Customer 39"/>
    <x v="2"/>
    <s v="Bengaluru"/>
    <s v="Karnataka"/>
    <x v="2"/>
    <x v="0"/>
    <s v="Monitor"/>
    <x v="410"/>
    <n v="7418.37"/>
    <n v="10"/>
    <n v="0.05"/>
    <n v="688.99"/>
    <x v="6"/>
    <x v="0"/>
  </r>
  <r>
    <n v="1417"/>
    <x v="284"/>
    <d v="2025-12-20T00:00:00"/>
    <s v="C1007"/>
    <s v="Customer 216"/>
    <x v="1"/>
    <s v="Lucknow"/>
    <s v="Uttar Pradesh"/>
    <x v="1"/>
    <x v="0"/>
    <s v="Mouse"/>
    <x v="411"/>
    <n v="71564.5"/>
    <n v="9"/>
    <n v="0"/>
    <n v="11015.31"/>
    <x v="0"/>
    <x v="3"/>
  </r>
  <r>
    <n v="1418"/>
    <x v="159"/>
    <d v="2024-11-28T00:00:00"/>
    <s v="C1039"/>
    <s v="Customer 91"/>
    <x v="1"/>
    <s v="Lucknow"/>
    <s v="Uttar Pradesh"/>
    <x v="1"/>
    <x v="0"/>
    <s v="Laptop"/>
    <x v="412"/>
    <n v="41073.61"/>
    <n v="9"/>
    <n v="0.05"/>
    <n v="2495.9499999999998"/>
    <x v="7"/>
    <x v="1"/>
  </r>
  <r>
    <n v="1419"/>
    <x v="316"/>
    <d v="2024-12-03T00:00:00"/>
    <s v="C1020"/>
    <s v="Customer 148"/>
    <x v="2"/>
    <s v="Bhubaneswar"/>
    <s v="Odisha"/>
    <x v="3"/>
    <x v="1"/>
    <s v="Sofa"/>
    <x v="413"/>
    <n v="51297.27"/>
    <n v="3"/>
    <n v="0.25"/>
    <n v="6759.17"/>
    <x v="3"/>
    <x v="2"/>
  </r>
  <r>
    <n v="1420"/>
    <x v="81"/>
    <d v="2024-11-24T00:00:00"/>
    <s v="C1139"/>
    <s v="Customer 157"/>
    <x v="2"/>
    <s v="Bengaluru"/>
    <s v="Karnataka"/>
    <x v="2"/>
    <x v="0"/>
    <s v="Phone"/>
    <x v="414"/>
    <n v="85995.86"/>
    <n v="8"/>
    <n v="0.1"/>
    <n v="8201.06"/>
    <x v="4"/>
    <x v="1"/>
  </r>
  <r>
    <n v="1421"/>
    <x v="317"/>
    <d v="2025-09-17T00:00:00"/>
    <s v="C1285"/>
    <s v="Customer 145"/>
    <x v="0"/>
    <s v="Patna"/>
    <s v="Bihar"/>
    <x v="3"/>
    <x v="1"/>
    <s v="Table"/>
    <x v="415"/>
    <n v="72302.080000000002"/>
    <n v="9"/>
    <n v="0.2"/>
    <n v="14466.84"/>
    <x v="1"/>
    <x v="2"/>
  </r>
  <r>
    <n v="1422"/>
    <x v="177"/>
    <d v="2024-01-16T00:00:00"/>
    <s v="C1160"/>
    <s v="Customer 107"/>
    <x v="0"/>
    <s v="Chennai"/>
    <s v="Tamil Nadu"/>
    <x v="2"/>
    <x v="0"/>
    <s v="Laptop"/>
    <x v="416"/>
    <n v="12355.48"/>
    <n v="2"/>
    <n v="0.2"/>
    <n v="2634.01"/>
    <x v="4"/>
    <x v="0"/>
  </r>
  <r>
    <n v="1423"/>
    <x v="318"/>
    <d v="2025-07-17T00:00:00"/>
    <s v="C1075"/>
    <s v="Customer 292"/>
    <x v="0"/>
    <s v="Kolkata"/>
    <s v="West Bengal"/>
    <x v="3"/>
    <x v="1"/>
    <s v="Bookcase"/>
    <x v="7"/>
    <n v="69196.75"/>
    <n v="4"/>
    <n v="0.2"/>
    <n v="5634.47"/>
    <x v="1"/>
    <x v="1"/>
  </r>
  <r>
    <n v="1424"/>
    <x v="319"/>
    <d v="2026-01-05T00:00:00"/>
    <s v="C1111"/>
    <s v="Customer 1"/>
    <x v="1"/>
    <s v="Chennai"/>
    <s v="Tamil Nadu"/>
    <x v="2"/>
    <x v="2"/>
    <s v="Binder"/>
    <x v="417"/>
    <n v="41041.519999999997"/>
    <n v="9"/>
    <n v="0.2"/>
    <n v="6063.49"/>
    <x v="5"/>
    <x v="2"/>
  </r>
  <r>
    <n v="1425"/>
    <x v="320"/>
    <d v="2025-11-01T00:00:00"/>
    <s v="C1225"/>
    <s v="Customer 296"/>
    <x v="2"/>
    <s v="Mumbai"/>
    <s v="Maharashtra"/>
    <x v="0"/>
    <x v="2"/>
    <s v="Paper"/>
    <x v="418"/>
    <n v="41305.22"/>
    <n v="7"/>
    <n v="0.25"/>
    <n v="2295.9899999999998"/>
    <x v="3"/>
    <x v="0"/>
  </r>
  <r>
    <n v="1426"/>
    <x v="321"/>
    <d v="2024-06-27T00:00:00"/>
    <s v="C1117"/>
    <s v="Customer 93"/>
    <x v="2"/>
    <s v="Mumbai"/>
    <s v="Maharashtra"/>
    <x v="0"/>
    <x v="2"/>
    <s v="Paper"/>
    <x v="419"/>
    <n v="28873.37"/>
    <n v="8"/>
    <n v="0.05"/>
    <n v="8081.14"/>
    <x v="3"/>
    <x v="1"/>
  </r>
  <r>
    <n v="1427"/>
    <x v="282"/>
    <d v="2025-09-27T00:00:00"/>
    <s v="C1232"/>
    <s v="Customer 85"/>
    <x v="2"/>
    <s v="Patna"/>
    <s v="Bihar"/>
    <x v="3"/>
    <x v="2"/>
    <s v="Storage"/>
    <x v="420"/>
    <n v="29790.9"/>
    <n v="1"/>
    <n v="0.25"/>
    <n v="1523.42"/>
    <x v="5"/>
    <x v="1"/>
  </r>
  <r>
    <n v="1428"/>
    <x v="109"/>
    <d v="2025-08-16T00:00:00"/>
    <s v="C1256"/>
    <s v="Customer 128"/>
    <x v="1"/>
    <s v="Ahmedabad"/>
    <s v="Gujarat"/>
    <x v="0"/>
    <x v="2"/>
    <s v="Storage"/>
    <x v="45"/>
    <n v="27944.240000000002"/>
    <n v="9"/>
    <n v="0.15"/>
    <n v="5127.1400000000003"/>
    <x v="3"/>
    <x v="1"/>
  </r>
  <r>
    <n v="1429"/>
    <x v="322"/>
    <d v="2024-01-20T00:00:00"/>
    <s v="C1104"/>
    <s v="Customer 176"/>
    <x v="0"/>
    <s v="Bhubaneswar"/>
    <s v="Odisha"/>
    <x v="3"/>
    <x v="1"/>
    <s v="Table"/>
    <x v="421"/>
    <n v="27614.82"/>
    <n v="1"/>
    <n v="0"/>
    <n v="5346.77"/>
    <x v="5"/>
    <x v="2"/>
  </r>
  <r>
    <n v="1430"/>
    <x v="70"/>
    <d v="2025-10-29T00:00:00"/>
    <s v="C1292"/>
    <s v="Customer 41"/>
    <x v="0"/>
    <s v="Jaipur"/>
    <s v="Rajasthan"/>
    <x v="1"/>
    <x v="2"/>
    <s v="Binder"/>
    <x v="422"/>
    <n v="6566.71"/>
    <n v="7"/>
    <n v="0.15"/>
    <n v="1139.6300000000001"/>
    <x v="2"/>
    <x v="0"/>
  </r>
  <r>
    <n v="1431"/>
    <x v="323"/>
    <d v="2024-07-05T00:00:00"/>
    <s v="C1132"/>
    <s v="Customer 127"/>
    <x v="0"/>
    <s v="Chennai"/>
    <s v="Tamil Nadu"/>
    <x v="2"/>
    <x v="2"/>
    <s v="Paper"/>
    <x v="423"/>
    <n v="11171.55"/>
    <n v="5"/>
    <n v="0.3"/>
    <n v="134.52000000000001"/>
    <x v="4"/>
    <x v="3"/>
  </r>
  <r>
    <n v="1432"/>
    <x v="324"/>
    <d v="2024-08-27T00:00:00"/>
    <s v="C1124"/>
    <s v="Customer 77"/>
    <x v="0"/>
    <s v="Bengaluru"/>
    <s v="Karnataka"/>
    <x v="2"/>
    <x v="0"/>
    <s v="Monitor"/>
    <x v="424"/>
    <n v="43473.24"/>
    <n v="7"/>
    <n v="0.05"/>
    <n v="6761.52"/>
    <x v="3"/>
    <x v="0"/>
  </r>
  <r>
    <n v="1433"/>
    <x v="325"/>
    <d v="2025-03-02T00:00:00"/>
    <s v="C1025"/>
    <s v="Customer 133"/>
    <x v="2"/>
    <s v="Mumbai"/>
    <s v="Maharashtra"/>
    <x v="0"/>
    <x v="0"/>
    <s v="Monitor"/>
    <x v="425"/>
    <n v="71415.56"/>
    <n v="8"/>
    <n v="0.15"/>
    <n v="14757.41"/>
    <x v="7"/>
    <x v="1"/>
  </r>
  <r>
    <n v="1434"/>
    <x v="326"/>
    <d v="2025-01-27T00:00:00"/>
    <s v="C1067"/>
    <s v="Customer 224"/>
    <x v="1"/>
    <s v="Mumbai"/>
    <s v="Maharashtra"/>
    <x v="0"/>
    <x v="0"/>
    <s v="Laptop"/>
    <x v="426"/>
    <n v="55684.89"/>
    <n v="7"/>
    <n v="0.05"/>
    <n v="5257.33"/>
    <x v="2"/>
    <x v="0"/>
  </r>
  <r>
    <n v="1435"/>
    <x v="327"/>
    <d v="2025-10-10T00:00:00"/>
    <s v="C1162"/>
    <s v="Customer 249"/>
    <x v="0"/>
    <s v="Pune"/>
    <s v="Maharashtra"/>
    <x v="0"/>
    <x v="2"/>
    <s v="Notebook"/>
    <x v="427"/>
    <n v="17335.400000000001"/>
    <n v="8"/>
    <n v="0.3"/>
    <n v="1088.78"/>
    <x v="7"/>
    <x v="2"/>
  </r>
  <r>
    <n v="1436"/>
    <x v="328"/>
    <d v="2024-11-14T00:00:00"/>
    <s v="C1239"/>
    <s v="Customer 188"/>
    <x v="2"/>
    <s v="Mumbai"/>
    <s v="Maharashtra"/>
    <x v="0"/>
    <x v="2"/>
    <s v="Notebook"/>
    <x v="428"/>
    <n v="20234.29"/>
    <n v="2"/>
    <n v="0.25"/>
    <n v="3975.37"/>
    <x v="0"/>
    <x v="2"/>
  </r>
  <r>
    <n v="1437"/>
    <x v="319"/>
    <d v="2026-01-03T00:00:00"/>
    <s v="C1157"/>
    <s v="Customer 252"/>
    <x v="2"/>
    <s v="Chennai"/>
    <s v="Tamil Nadu"/>
    <x v="2"/>
    <x v="0"/>
    <s v="Mouse"/>
    <x v="429"/>
    <n v="29164.19"/>
    <n v="6"/>
    <n v="0.1"/>
    <n v="3655.6"/>
    <x v="0"/>
    <x v="2"/>
  </r>
  <r>
    <n v="1438"/>
    <x v="255"/>
    <d v="2024-09-12T00:00:00"/>
    <s v="C1174"/>
    <s v="Customer 38"/>
    <x v="1"/>
    <s v="Kolkata"/>
    <s v="West Bengal"/>
    <x v="3"/>
    <x v="1"/>
    <s v="Table"/>
    <x v="430"/>
    <n v="76176.87"/>
    <n v="8"/>
    <n v="0.15"/>
    <n v="16715.05"/>
    <x v="3"/>
    <x v="1"/>
  </r>
  <r>
    <n v="1439"/>
    <x v="50"/>
    <d v="2024-12-17T00:00:00"/>
    <s v="C1055"/>
    <s v="Customer 22"/>
    <x v="2"/>
    <s v="Kolkata"/>
    <s v="West Bengal"/>
    <x v="3"/>
    <x v="0"/>
    <s v="Phone"/>
    <x v="431"/>
    <n v="22373.86"/>
    <n v="9"/>
    <n v="0.15"/>
    <n v="658.54"/>
    <x v="3"/>
    <x v="2"/>
  </r>
  <r>
    <n v="1440"/>
    <x v="114"/>
    <d v="2024-08-17T00:00:00"/>
    <s v="C1217"/>
    <s v="Customer 145"/>
    <x v="1"/>
    <s v="Patna"/>
    <s v="Bihar"/>
    <x v="3"/>
    <x v="1"/>
    <s v="Sofa"/>
    <x v="432"/>
    <n v="62381.87"/>
    <n v="4"/>
    <n v="0.1"/>
    <n v="13607.96"/>
    <x v="3"/>
    <x v="0"/>
  </r>
  <r>
    <n v="1441"/>
    <x v="329"/>
    <d v="2024-08-19T00:00:00"/>
    <s v="C1178"/>
    <s v="Customer 121"/>
    <x v="1"/>
    <s v="Lucknow"/>
    <s v="Uttar Pradesh"/>
    <x v="1"/>
    <x v="0"/>
    <s v="Phone"/>
    <x v="433"/>
    <n v="89800.79"/>
    <n v="6"/>
    <n v="0"/>
    <n v="25509.79"/>
    <x v="5"/>
    <x v="3"/>
  </r>
  <r>
    <n v="1442"/>
    <x v="330"/>
    <d v="2024-10-09T00:00:00"/>
    <s v="C1214"/>
    <s v="Customer 23"/>
    <x v="1"/>
    <s v="Kolkata"/>
    <s v="West Bengal"/>
    <x v="3"/>
    <x v="2"/>
    <s v="Notebook"/>
    <x v="434"/>
    <n v="76096.399999999994"/>
    <n v="6"/>
    <n v="0.25"/>
    <n v="439.61"/>
    <x v="6"/>
    <x v="2"/>
  </r>
  <r>
    <n v="1443"/>
    <x v="10"/>
    <d v="2025-03-25T00:00:00"/>
    <s v="C1073"/>
    <s v="Customer 259"/>
    <x v="1"/>
    <s v="Bengaluru"/>
    <s v="Karnataka"/>
    <x v="2"/>
    <x v="0"/>
    <s v="Phone"/>
    <x v="435"/>
    <n v="57726.76"/>
    <n v="8"/>
    <n v="0.25"/>
    <n v="11542.05"/>
    <x v="7"/>
    <x v="2"/>
  </r>
  <r>
    <n v="1444"/>
    <x v="281"/>
    <d v="2024-02-07T00:00:00"/>
    <s v="C1017"/>
    <s v="Customer 292"/>
    <x v="1"/>
    <s v="Bengaluru"/>
    <s v="Karnataka"/>
    <x v="2"/>
    <x v="0"/>
    <s v="Keyboard"/>
    <x v="436"/>
    <n v="44084.04"/>
    <n v="7"/>
    <n v="0"/>
    <n v="10313"/>
    <x v="5"/>
    <x v="1"/>
  </r>
  <r>
    <n v="1445"/>
    <x v="331"/>
    <d v="2025-07-10T00:00:00"/>
    <s v="C1258"/>
    <s v="Customer 189"/>
    <x v="0"/>
    <s v="Bhubaneswar"/>
    <s v="Odisha"/>
    <x v="3"/>
    <x v="0"/>
    <s v="Keyboard"/>
    <x v="437"/>
    <n v="27123.23"/>
    <n v="7"/>
    <n v="0.15"/>
    <n v="3863.52"/>
    <x v="1"/>
    <x v="3"/>
  </r>
  <r>
    <n v="1446"/>
    <x v="72"/>
    <d v="2025-02-03T00:00:00"/>
    <s v="C1257"/>
    <s v="Customer 210"/>
    <x v="1"/>
    <s v="Mumbai"/>
    <s v="Maharashtra"/>
    <x v="0"/>
    <x v="1"/>
    <s v="Table"/>
    <x v="438"/>
    <n v="14893.98"/>
    <n v="4"/>
    <n v="0"/>
    <n v="2013.01"/>
    <x v="4"/>
    <x v="2"/>
  </r>
  <r>
    <n v="1447"/>
    <x v="49"/>
    <d v="2025-01-12T00:00:00"/>
    <s v="C1060"/>
    <s v="Customer 118"/>
    <x v="0"/>
    <s v="Kolkata"/>
    <s v="West Bengal"/>
    <x v="3"/>
    <x v="2"/>
    <s v="Binder"/>
    <x v="381"/>
    <n v="66294.3"/>
    <n v="3"/>
    <n v="0.25"/>
    <n v="5774.57"/>
    <x v="0"/>
    <x v="1"/>
  </r>
  <r>
    <n v="1448"/>
    <x v="303"/>
    <d v="2025-12-20T00:00:00"/>
    <s v="C1028"/>
    <s v="Customer 3"/>
    <x v="2"/>
    <s v="Bhubaneswar"/>
    <s v="Odisha"/>
    <x v="3"/>
    <x v="0"/>
    <s v="Phone"/>
    <x v="439"/>
    <n v="59705.21"/>
    <n v="4"/>
    <n v="0.05"/>
    <n v="4928.7700000000004"/>
    <x v="2"/>
    <x v="2"/>
  </r>
  <r>
    <n v="1449"/>
    <x v="332"/>
    <d v="2024-12-14T00:00:00"/>
    <s v="C1164"/>
    <s v="Customer 273"/>
    <x v="2"/>
    <s v="Bhubaneswar"/>
    <s v="Odisha"/>
    <x v="3"/>
    <x v="2"/>
    <s v="Storage"/>
    <x v="440"/>
    <n v="12582.49"/>
    <n v="4"/>
    <n v="0"/>
    <n v="2272.6799999999998"/>
    <x v="1"/>
    <x v="0"/>
  </r>
  <r>
    <n v="1450"/>
    <x v="71"/>
    <d v="2024-08-26T00:00:00"/>
    <s v="C1048"/>
    <s v="Customer 154"/>
    <x v="2"/>
    <s v="Hyderabad"/>
    <s v="Telangana"/>
    <x v="2"/>
    <x v="2"/>
    <s v="Notebook"/>
    <x v="441"/>
    <n v="67014.289999999994"/>
    <n v="7"/>
    <n v="0.05"/>
    <n v="9893.7099999999991"/>
    <x v="4"/>
    <x v="0"/>
  </r>
  <r>
    <n v="1451"/>
    <x v="333"/>
    <d v="2025-04-29T00:00:00"/>
    <s v="C1230"/>
    <s v="Customer 62"/>
    <x v="2"/>
    <s v="Pune"/>
    <s v="Maharashtra"/>
    <x v="0"/>
    <x v="2"/>
    <s v="Binder"/>
    <x v="442"/>
    <n v="43521.22"/>
    <n v="10"/>
    <n v="0.2"/>
    <n v="9081.34"/>
    <x v="2"/>
    <x v="1"/>
  </r>
  <r>
    <n v="1452"/>
    <x v="334"/>
    <d v="2025-03-28T00:00:00"/>
    <s v="C1202"/>
    <s v="Customer 203"/>
    <x v="0"/>
    <s v="Kolkata"/>
    <s v="West Bengal"/>
    <x v="3"/>
    <x v="1"/>
    <s v="Table"/>
    <x v="443"/>
    <n v="34767.949999999997"/>
    <n v="6"/>
    <n v="0.3"/>
    <n v="2131.4299999999998"/>
    <x v="3"/>
    <x v="3"/>
  </r>
  <r>
    <n v="1453"/>
    <x v="335"/>
    <d v="2025-08-31T00:00:00"/>
    <s v="C1115"/>
    <s v="Customer 224"/>
    <x v="2"/>
    <s v="Patna"/>
    <s v="Bihar"/>
    <x v="3"/>
    <x v="2"/>
    <s v="Binder"/>
    <x v="444"/>
    <n v="63394.44"/>
    <n v="7"/>
    <n v="0.1"/>
    <n v="2896.56"/>
    <x v="4"/>
    <x v="3"/>
  </r>
  <r>
    <n v="1454"/>
    <x v="336"/>
    <d v="2025-09-30T00:00:00"/>
    <s v="C1283"/>
    <s v="Customer 258"/>
    <x v="0"/>
    <s v="Delhi"/>
    <s v="Delhi"/>
    <x v="1"/>
    <x v="1"/>
    <s v="Table"/>
    <x v="445"/>
    <n v="58125.01"/>
    <n v="8"/>
    <n v="0.3"/>
    <n v="5483.44"/>
    <x v="2"/>
    <x v="0"/>
  </r>
  <r>
    <n v="1455"/>
    <x v="337"/>
    <d v="2025-04-24T00:00:00"/>
    <s v="C1280"/>
    <s v="Customer 129"/>
    <x v="0"/>
    <s v="Kolkata"/>
    <s v="West Bengal"/>
    <x v="3"/>
    <x v="0"/>
    <s v="Phone"/>
    <x v="446"/>
    <n v="64740.06"/>
    <n v="3"/>
    <n v="0.05"/>
    <n v="11973.44"/>
    <x v="1"/>
    <x v="0"/>
  </r>
  <r>
    <n v="1456"/>
    <x v="338"/>
    <d v="2025-01-12T00:00:00"/>
    <s v="C1170"/>
    <s v="Customer 74"/>
    <x v="2"/>
    <s v="Jaipur"/>
    <s v="Rajasthan"/>
    <x v="1"/>
    <x v="2"/>
    <s v="Binder"/>
    <x v="447"/>
    <n v="39901.71"/>
    <n v="2"/>
    <n v="0.15"/>
    <n v="5130.71"/>
    <x v="3"/>
    <x v="0"/>
  </r>
  <r>
    <n v="1457"/>
    <x v="94"/>
    <d v="2025-04-06T00:00:00"/>
    <s v="C1191"/>
    <s v="Customer 138"/>
    <x v="1"/>
    <s v="Pune"/>
    <s v="Maharashtra"/>
    <x v="0"/>
    <x v="1"/>
    <s v="Bookcase"/>
    <x v="448"/>
    <n v="13269.59"/>
    <n v="6"/>
    <n v="0.3"/>
    <n v="1657.78"/>
    <x v="0"/>
    <x v="3"/>
  </r>
  <r>
    <n v="1458"/>
    <x v="333"/>
    <d v="2025-04-28T00:00:00"/>
    <s v="C1077"/>
    <s v="Customer 211"/>
    <x v="0"/>
    <s v="Ahmedabad"/>
    <s v="Gujarat"/>
    <x v="0"/>
    <x v="0"/>
    <s v="Mouse"/>
    <x v="449"/>
    <n v="69436.92"/>
    <n v="2"/>
    <n v="0.15"/>
    <n v="1511.08"/>
    <x v="7"/>
    <x v="2"/>
  </r>
  <r>
    <n v="1459"/>
    <x v="283"/>
    <d v="2025-01-05T00:00:00"/>
    <s v="C1069"/>
    <s v="Customer 127"/>
    <x v="0"/>
    <s v="Jaipur"/>
    <s v="Rajasthan"/>
    <x v="1"/>
    <x v="1"/>
    <s v="Sofa"/>
    <x v="450"/>
    <n v="64283.98"/>
    <n v="4"/>
    <n v="0.2"/>
    <n v="3231.01"/>
    <x v="0"/>
    <x v="2"/>
  </r>
  <r>
    <n v="1460"/>
    <x v="221"/>
    <d v="2024-04-15T00:00:00"/>
    <s v="C1059"/>
    <s v="Customer 67"/>
    <x v="0"/>
    <s v="Lucknow"/>
    <s v="Uttar Pradesh"/>
    <x v="1"/>
    <x v="0"/>
    <s v="Monitor"/>
    <x v="451"/>
    <n v="25402.09"/>
    <n v="7"/>
    <n v="0.25"/>
    <n v="505.31"/>
    <x v="1"/>
    <x v="1"/>
  </r>
  <r>
    <n v="1461"/>
    <x v="37"/>
    <d v="2024-01-24T00:00:00"/>
    <s v="C1253"/>
    <s v="Customer 250"/>
    <x v="0"/>
    <s v="Chennai"/>
    <s v="Tamil Nadu"/>
    <x v="2"/>
    <x v="1"/>
    <s v="Table"/>
    <x v="452"/>
    <n v="41294.39"/>
    <n v="4"/>
    <n v="0.25"/>
    <n v="6569.72"/>
    <x v="5"/>
    <x v="2"/>
  </r>
  <r>
    <n v="1462"/>
    <x v="162"/>
    <d v="2024-02-19T00:00:00"/>
    <s v="C1023"/>
    <s v="Customer 15"/>
    <x v="0"/>
    <s v="Hyderabad"/>
    <s v="Telangana"/>
    <x v="2"/>
    <x v="0"/>
    <s v="Mouse"/>
    <x v="453"/>
    <n v="38232.080000000002"/>
    <n v="8"/>
    <n v="0.2"/>
    <n v="1617.73"/>
    <x v="5"/>
    <x v="3"/>
  </r>
  <r>
    <n v="1463"/>
    <x v="191"/>
    <d v="2024-06-16T00:00:00"/>
    <s v="C1204"/>
    <s v="Customer 222"/>
    <x v="0"/>
    <s v="Ahmedabad"/>
    <s v="Gujarat"/>
    <x v="0"/>
    <x v="1"/>
    <s v="Table"/>
    <x v="454"/>
    <n v="56316.47"/>
    <n v="5"/>
    <n v="0.15"/>
    <n v="6646.47"/>
    <x v="6"/>
    <x v="2"/>
  </r>
  <r>
    <n v="1464"/>
    <x v="339"/>
    <d v="2025-03-01T00:00:00"/>
    <s v="C1169"/>
    <s v="Customer 5"/>
    <x v="0"/>
    <s v="Pune"/>
    <s v="Maharashtra"/>
    <x v="0"/>
    <x v="0"/>
    <s v="Monitor"/>
    <x v="455"/>
    <n v="21444.44"/>
    <n v="4"/>
    <n v="0.05"/>
    <n v="2691.32"/>
    <x v="2"/>
    <x v="0"/>
  </r>
  <r>
    <n v="1465"/>
    <x v="191"/>
    <d v="2024-06-16T00:00:00"/>
    <s v="C1250"/>
    <s v="Customer 213"/>
    <x v="0"/>
    <s v="Kolkata"/>
    <s v="West Bengal"/>
    <x v="3"/>
    <x v="2"/>
    <s v="Storage"/>
    <x v="456"/>
    <n v="82831.14"/>
    <n v="8"/>
    <n v="0"/>
    <n v="24628.35"/>
    <x v="4"/>
    <x v="0"/>
  </r>
  <r>
    <n v="1466"/>
    <x v="340"/>
    <d v="2024-09-09T00:00:00"/>
    <s v="C1216"/>
    <s v="Customer 230"/>
    <x v="2"/>
    <s v="Delhi"/>
    <s v="Delhi"/>
    <x v="1"/>
    <x v="2"/>
    <s v="Storage"/>
    <x v="457"/>
    <n v="41813.67"/>
    <n v="8"/>
    <n v="0"/>
    <n v="3771.41"/>
    <x v="2"/>
    <x v="0"/>
  </r>
  <r>
    <n v="1467"/>
    <x v="341"/>
    <d v="2024-11-01T00:00:00"/>
    <s v="C1038"/>
    <s v="Customer 80"/>
    <x v="2"/>
    <s v="Patna"/>
    <s v="Bihar"/>
    <x v="3"/>
    <x v="0"/>
    <s v="Laptop"/>
    <x v="458"/>
    <n v="50049.11"/>
    <n v="6"/>
    <n v="0"/>
    <n v="10014.040000000001"/>
    <x v="4"/>
    <x v="3"/>
  </r>
  <r>
    <n v="1468"/>
    <x v="342"/>
    <d v="2025-03-01T00:00:00"/>
    <s v="C1176"/>
    <s v="Customer 183"/>
    <x v="2"/>
    <s v="Hyderabad"/>
    <s v="Telangana"/>
    <x v="2"/>
    <x v="0"/>
    <s v="Monitor"/>
    <x v="459"/>
    <n v="78566.95"/>
    <n v="8"/>
    <n v="0"/>
    <n v="22415.31"/>
    <x v="1"/>
    <x v="1"/>
  </r>
  <r>
    <n v="1469"/>
    <x v="343"/>
    <d v="2025-11-07T00:00:00"/>
    <s v="C1164"/>
    <s v="Customer 48"/>
    <x v="1"/>
    <s v="Chennai"/>
    <s v="Tamil Nadu"/>
    <x v="2"/>
    <x v="2"/>
    <s v="Pen"/>
    <x v="460"/>
    <n v="16793.87"/>
    <n v="4"/>
    <n v="0.25"/>
    <n v="192.48"/>
    <x v="3"/>
    <x v="0"/>
  </r>
  <r>
    <n v="1470"/>
    <x v="344"/>
    <d v="2024-09-28T00:00:00"/>
    <s v="C1136"/>
    <s v="Customer 58"/>
    <x v="1"/>
    <s v="Pune"/>
    <s v="Maharashtra"/>
    <x v="0"/>
    <x v="1"/>
    <s v="Sofa"/>
    <x v="461"/>
    <n v="35796.6"/>
    <n v="5"/>
    <n v="0.2"/>
    <n v="2790.58"/>
    <x v="7"/>
    <x v="3"/>
  </r>
  <r>
    <n v="1471"/>
    <x v="131"/>
    <d v="2025-10-22T00:00:00"/>
    <s v="C1180"/>
    <s v="Customer 253"/>
    <x v="1"/>
    <s v="Delhi"/>
    <s v="Delhi"/>
    <x v="1"/>
    <x v="1"/>
    <s v="Table"/>
    <x v="462"/>
    <n v="89928.23"/>
    <n v="5"/>
    <n v="0.2"/>
    <n v="19529.05"/>
    <x v="3"/>
    <x v="3"/>
  </r>
  <r>
    <n v="1472"/>
    <x v="121"/>
    <d v="2025-04-11T00:00:00"/>
    <s v="C1266"/>
    <s v="Customer 217"/>
    <x v="1"/>
    <s v="Lucknow"/>
    <s v="Uttar Pradesh"/>
    <x v="1"/>
    <x v="0"/>
    <s v="Mouse"/>
    <x v="463"/>
    <n v="63727.97"/>
    <n v="2"/>
    <n v="0.25"/>
    <n v="7861.19"/>
    <x v="4"/>
    <x v="2"/>
  </r>
  <r>
    <n v="1473"/>
    <x v="345"/>
    <d v="2024-03-27T00:00:00"/>
    <s v="C1090"/>
    <s v="Customer 28"/>
    <x v="0"/>
    <s v="Bengaluru"/>
    <s v="Karnataka"/>
    <x v="2"/>
    <x v="1"/>
    <s v="Sofa"/>
    <x v="464"/>
    <n v="12241.37"/>
    <n v="5"/>
    <n v="0.05"/>
    <n v="1351.67"/>
    <x v="7"/>
    <x v="0"/>
  </r>
  <r>
    <n v="1474"/>
    <x v="346"/>
    <d v="2024-01-18T00:00:00"/>
    <s v="C1136"/>
    <s v="Customer 55"/>
    <x v="1"/>
    <s v="Bengaluru"/>
    <s v="Karnataka"/>
    <x v="2"/>
    <x v="0"/>
    <s v="Laptop"/>
    <x v="465"/>
    <n v="58562.09"/>
    <n v="6"/>
    <n v="0.1"/>
    <n v="10880.5"/>
    <x v="4"/>
    <x v="1"/>
  </r>
  <r>
    <n v="1475"/>
    <x v="49"/>
    <d v="2025-01-10T00:00:00"/>
    <s v="C1096"/>
    <s v="Customer 298"/>
    <x v="1"/>
    <s v="Ahmedabad"/>
    <s v="Gujarat"/>
    <x v="0"/>
    <x v="1"/>
    <s v="Chair"/>
    <x v="466"/>
    <n v="34465.65"/>
    <n v="10"/>
    <n v="0.2"/>
    <n v="7368.09"/>
    <x v="2"/>
    <x v="2"/>
  </r>
  <r>
    <n v="1476"/>
    <x v="347"/>
    <d v="2025-04-14T00:00:00"/>
    <s v="C1172"/>
    <s v="Customer 107"/>
    <x v="2"/>
    <s v="Lucknow"/>
    <s v="Uttar Pradesh"/>
    <x v="1"/>
    <x v="1"/>
    <s v="Sofa"/>
    <x v="467"/>
    <n v="4771.68"/>
    <n v="9"/>
    <n v="0.25"/>
    <n v="429.98"/>
    <x v="2"/>
    <x v="0"/>
  </r>
  <r>
    <n v="1477"/>
    <x v="348"/>
    <d v="2024-11-29T00:00:00"/>
    <s v="C1068"/>
    <s v="Customer 195"/>
    <x v="0"/>
    <s v="Pune"/>
    <s v="Maharashtra"/>
    <x v="0"/>
    <x v="2"/>
    <s v="Binder"/>
    <x v="468"/>
    <n v="52887.74"/>
    <n v="9"/>
    <n v="0.05"/>
    <n v="6166.89"/>
    <x v="6"/>
    <x v="0"/>
  </r>
  <r>
    <n v="1478"/>
    <x v="185"/>
    <d v="2025-08-13T00:00:00"/>
    <s v="C1262"/>
    <s v="Customer 8"/>
    <x v="1"/>
    <s v="Bhubaneswar"/>
    <s v="Odisha"/>
    <x v="3"/>
    <x v="1"/>
    <s v="Bookcase"/>
    <x v="469"/>
    <n v="50407.66"/>
    <n v="10"/>
    <n v="0.05"/>
    <n v="6766.63"/>
    <x v="1"/>
    <x v="3"/>
  </r>
  <r>
    <n v="1479"/>
    <x v="336"/>
    <d v="2025-10-03T00:00:00"/>
    <s v="C1050"/>
    <s v="Customer 164"/>
    <x v="1"/>
    <s v="Bengaluru"/>
    <s v="Karnataka"/>
    <x v="2"/>
    <x v="1"/>
    <s v="Sofa"/>
    <x v="470"/>
    <n v="80509.789999999994"/>
    <n v="7"/>
    <n v="0.25"/>
    <n v="-1067.22"/>
    <x v="1"/>
    <x v="2"/>
  </r>
  <r>
    <n v="1480"/>
    <x v="349"/>
    <d v="2024-01-24T00:00:00"/>
    <s v="C1141"/>
    <s v="Customer 293"/>
    <x v="0"/>
    <s v="Jaipur"/>
    <s v="Rajasthan"/>
    <x v="1"/>
    <x v="1"/>
    <s v="Table"/>
    <x v="471"/>
    <n v="49262.79"/>
    <n v="8"/>
    <n v="0.15"/>
    <n v="1162.28"/>
    <x v="3"/>
    <x v="2"/>
  </r>
  <r>
    <n v="1481"/>
    <x v="350"/>
    <d v="2024-01-09T00:00:00"/>
    <s v="C1152"/>
    <s v="Customer 18"/>
    <x v="1"/>
    <s v="Bhubaneswar"/>
    <s v="Odisha"/>
    <x v="3"/>
    <x v="0"/>
    <s v="Mouse"/>
    <x v="472"/>
    <n v="20257.47"/>
    <n v="9"/>
    <n v="0.2"/>
    <n v="2315.48"/>
    <x v="6"/>
    <x v="3"/>
  </r>
  <r>
    <n v="1482"/>
    <x v="86"/>
    <d v="2025-05-02T00:00:00"/>
    <s v="C1120"/>
    <s v="Customer 118"/>
    <x v="1"/>
    <s v="Hyderabad"/>
    <s v="Telangana"/>
    <x v="2"/>
    <x v="0"/>
    <s v="Keyboard"/>
    <x v="473"/>
    <n v="37584.959999999999"/>
    <n v="4"/>
    <n v="0.3"/>
    <n v="1197.77"/>
    <x v="5"/>
    <x v="0"/>
  </r>
  <r>
    <n v="1483"/>
    <x v="38"/>
    <d v="2024-12-19T00:00:00"/>
    <s v="C1049"/>
    <s v="Customer 87"/>
    <x v="1"/>
    <s v="Bhubaneswar"/>
    <s v="Odisha"/>
    <x v="3"/>
    <x v="0"/>
    <s v="Keyboard"/>
    <x v="474"/>
    <n v="29579.67"/>
    <n v="2"/>
    <n v="0.1"/>
    <n v="2158.56"/>
    <x v="6"/>
    <x v="3"/>
  </r>
  <r>
    <n v="1484"/>
    <x v="125"/>
    <d v="2024-08-04T00:00:00"/>
    <s v="C1171"/>
    <s v="Customer 105"/>
    <x v="2"/>
    <s v="Mumbai"/>
    <s v="Maharashtra"/>
    <x v="0"/>
    <x v="0"/>
    <s v="Phone"/>
    <x v="475"/>
    <n v="71877.64"/>
    <n v="4"/>
    <n v="0.1"/>
    <n v="10973.72"/>
    <x v="0"/>
    <x v="2"/>
  </r>
  <r>
    <n v="1485"/>
    <x v="114"/>
    <d v="2024-08-16T00:00:00"/>
    <s v="C1176"/>
    <s v="Customer 51"/>
    <x v="2"/>
    <s v="Hyderabad"/>
    <s v="Telangana"/>
    <x v="2"/>
    <x v="1"/>
    <s v="Sofa"/>
    <x v="476"/>
    <n v="983.64"/>
    <n v="10"/>
    <n v="0.25"/>
    <n v="124.57"/>
    <x v="1"/>
    <x v="0"/>
  </r>
  <r>
    <n v="1486"/>
    <x v="351"/>
    <d v="2025-03-11T00:00:00"/>
    <s v="C1081"/>
    <s v="Customer 150"/>
    <x v="1"/>
    <s v="Kolkata"/>
    <s v="West Bengal"/>
    <x v="3"/>
    <x v="2"/>
    <s v="Notebook"/>
    <x v="477"/>
    <n v="37932.089999999997"/>
    <n v="4"/>
    <n v="0"/>
    <n v="5523.32"/>
    <x v="2"/>
    <x v="2"/>
  </r>
  <r>
    <n v="1487"/>
    <x v="314"/>
    <d v="2024-05-04T00:00:00"/>
    <s v="C1155"/>
    <s v="Customer 57"/>
    <x v="2"/>
    <s v="Chennai"/>
    <s v="Tamil Nadu"/>
    <x v="2"/>
    <x v="1"/>
    <s v="Bookcase"/>
    <x v="478"/>
    <n v="50811.87"/>
    <n v="10"/>
    <n v="0.2"/>
    <n v="7409.7"/>
    <x v="0"/>
    <x v="3"/>
  </r>
  <r>
    <n v="1488"/>
    <x v="352"/>
    <d v="2024-07-10T00:00:00"/>
    <s v="C1068"/>
    <s v="Customer 13"/>
    <x v="2"/>
    <s v="Bhubaneswar"/>
    <s v="Odisha"/>
    <x v="3"/>
    <x v="1"/>
    <s v="Chair"/>
    <x v="479"/>
    <n v="20184.02"/>
    <n v="3"/>
    <n v="0.15"/>
    <n v="1925.4"/>
    <x v="7"/>
    <x v="1"/>
  </r>
  <r>
    <n v="1489"/>
    <x v="353"/>
    <d v="2025-01-11T00:00:00"/>
    <s v="C1123"/>
    <s v="Customer 188"/>
    <x v="1"/>
    <s v="Mumbai"/>
    <s v="Maharashtra"/>
    <x v="0"/>
    <x v="2"/>
    <s v="Storage"/>
    <x v="129"/>
    <n v="43799.88"/>
    <n v="4"/>
    <n v="0.25"/>
    <n v="8542.98"/>
    <x v="0"/>
    <x v="1"/>
  </r>
  <r>
    <n v="1490"/>
    <x v="354"/>
    <d v="2025-06-11T00:00:00"/>
    <s v="C1019"/>
    <s v="Customer 228"/>
    <x v="1"/>
    <s v="Mumbai"/>
    <s v="Maharashtra"/>
    <x v="0"/>
    <x v="1"/>
    <s v="Bookcase"/>
    <x v="480"/>
    <n v="48991.08"/>
    <n v="7"/>
    <n v="0.05"/>
    <n v="3745.5"/>
    <x v="7"/>
    <x v="1"/>
  </r>
  <r>
    <n v="1491"/>
    <x v="279"/>
    <d v="2024-01-25T00:00:00"/>
    <s v="C1293"/>
    <s v="Customer 279"/>
    <x v="2"/>
    <s v="Delhi"/>
    <s v="Delhi"/>
    <x v="1"/>
    <x v="2"/>
    <s v="Pen"/>
    <x v="481"/>
    <n v="74719.199999999997"/>
    <n v="10"/>
    <n v="0.15"/>
    <n v="15272.62"/>
    <x v="0"/>
    <x v="0"/>
  </r>
  <r>
    <n v="1492"/>
    <x v="49"/>
    <d v="2025-01-10T00:00:00"/>
    <s v="C1149"/>
    <s v="Customer 164"/>
    <x v="0"/>
    <s v="Patna"/>
    <s v="Bihar"/>
    <x v="3"/>
    <x v="2"/>
    <s v="Paper"/>
    <x v="482"/>
    <n v="59108.91"/>
    <n v="8"/>
    <n v="0.2"/>
    <n v="579.29"/>
    <x v="2"/>
    <x v="1"/>
  </r>
  <r>
    <n v="1493"/>
    <x v="355"/>
    <d v="2025-01-08T00:00:00"/>
    <s v="C1255"/>
    <s v="Customer 117"/>
    <x v="1"/>
    <s v="Lucknow"/>
    <s v="Uttar Pradesh"/>
    <x v="1"/>
    <x v="1"/>
    <s v="Chair"/>
    <x v="483"/>
    <n v="12578.73"/>
    <n v="3"/>
    <n v="0.3"/>
    <n v="-111.86"/>
    <x v="7"/>
    <x v="3"/>
  </r>
  <r>
    <n v="1494"/>
    <x v="356"/>
    <d v="2025-08-18T00:00:00"/>
    <s v="C1238"/>
    <s v="Customer 88"/>
    <x v="1"/>
    <s v="Patna"/>
    <s v="Bihar"/>
    <x v="3"/>
    <x v="2"/>
    <s v="Storage"/>
    <x v="484"/>
    <n v="38113.4"/>
    <n v="1"/>
    <n v="0.1"/>
    <n v="5313.48"/>
    <x v="2"/>
    <x v="2"/>
  </r>
  <r>
    <n v="1495"/>
    <x v="357"/>
    <d v="2024-05-08T00:00:00"/>
    <s v="C1069"/>
    <s v="Customer 246"/>
    <x v="1"/>
    <s v="Pune"/>
    <s v="Maharashtra"/>
    <x v="0"/>
    <x v="1"/>
    <s v="Sofa"/>
    <x v="485"/>
    <n v="69661.009999999995"/>
    <n v="3"/>
    <n v="0.1"/>
    <n v="7292.43"/>
    <x v="7"/>
    <x v="2"/>
  </r>
  <r>
    <n v="1496"/>
    <x v="358"/>
    <d v="2024-10-03T00:00:00"/>
    <s v="C1260"/>
    <s v="Customer 219"/>
    <x v="2"/>
    <s v="Bhubaneswar"/>
    <s v="Odisha"/>
    <x v="3"/>
    <x v="0"/>
    <s v="Keyboard"/>
    <x v="486"/>
    <n v="24831.98"/>
    <n v="4"/>
    <n v="0.3"/>
    <n v="585.89"/>
    <x v="1"/>
    <x v="3"/>
  </r>
  <r>
    <n v="1497"/>
    <x v="359"/>
    <d v="2025-01-07T00:00:00"/>
    <s v="C1166"/>
    <s v="Customer 257"/>
    <x v="1"/>
    <s v="Bhubaneswar"/>
    <s v="Odisha"/>
    <x v="3"/>
    <x v="2"/>
    <s v="Binder"/>
    <x v="487"/>
    <n v="65143.68"/>
    <n v="3"/>
    <n v="0.2"/>
    <n v="6612.47"/>
    <x v="0"/>
    <x v="3"/>
  </r>
  <r>
    <n v="1498"/>
    <x v="360"/>
    <d v="2024-05-17T00:00:00"/>
    <s v="C1083"/>
    <s v="Customer 285"/>
    <x v="1"/>
    <s v="Lucknow"/>
    <s v="Uttar Pradesh"/>
    <x v="1"/>
    <x v="0"/>
    <s v="Mouse"/>
    <x v="488"/>
    <n v="56108.98"/>
    <n v="5"/>
    <n v="0"/>
    <n v="13872.08"/>
    <x v="7"/>
    <x v="0"/>
  </r>
  <r>
    <n v="1499"/>
    <x v="361"/>
    <d v="2024-02-18T00:00:00"/>
    <s v="C1181"/>
    <s v="Customer 101"/>
    <x v="2"/>
    <s v="Lucknow"/>
    <s v="Uttar Pradesh"/>
    <x v="1"/>
    <x v="2"/>
    <s v="Notebook"/>
    <x v="489"/>
    <n v="30196.240000000002"/>
    <n v="6"/>
    <n v="0.15"/>
    <n v="611.98"/>
    <x v="4"/>
    <x v="1"/>
  </r>
  <r>
    <n v="1500"/>
    <x v="240"/>
    <d v="2025-09-20T00:00:00"/>
    <s v="C1205"/>
    <s v="Customer 193"/>
    <x v="1"/>
    <s v="Hyderabad"/>
    <s v="Telangana"/>
    <x v="2"/>
    <x v="2"/>
    <s v="Storage"/>
    <x v="490"/>
    <n v="70346.61"/>
    <n v="3"/>
    <n v="0.3"/>
    <n v="475.57"/>
    <x v="2"/>
    <x v="1"/>
  </r>
  <r>
    <n v="1501"/>
    <x v="362"/>
    <d v="2025-12-13T00:00:00"/>
    <s v="C1035"/>
    <s v="Customer 153"/>
    <x v="0"/>
    <s v="Delhi"/>
    <s v="Delhi"/>
    <x v="1"/>
    <x v="2"/>
    <s v="Notebook"/>
    <x v="491"/>
    <n v="6352.88"/>
    <n v="2"/>
    <n v="0.3"/>
    <n v="888.6"/>
    <x v="0"/>
    <x v="0"/>
  </r>
  <r>
    <n v="1502"/>
    <x v="363"/>
    <d v="2025-05-09T00:00:00"/>
    <s v="C1052"/>
    <s v="Customer 292"/>
    <x v="0"/>
    <s v="Chennai"/>
    <s v="Tamil Nadu"/>
    <x v="2"/>
    <x v="1"/>
    <s v="Sofa"/>
    <x v="492"/>
    <n v="89343.69"/>
    <n v="2"/>
    <n v="0.3"/>
    <n v="12754.79"/>
    <x v="5"/>
    <x v="2"/>
  </r>
  <r>
    <n v="1503"/>
    <x v="217"/>
    <d v="2025-10-08T00:00:00"/>
    <s v="C1246"/>
    <s v="Customer 172"/>
    <x v="0"/>
    <s v="Delhi"/>
    <s v="Delhi"/>
    <x v="1"/>
    <x v="2"/>
    <s v="Binder"/>
    <x v="493"/>
    <n v="36506.120000000003"/>
    <n v="9"/>
    <n v="0"/>
    <n v="5266.88"/>
    <x v="2"/>
    <x v="1"/>
  </r>
  <r>
    <n v="1504"/>
    <x v="364"/>
    <d v="2025-04-02T00:00:00"/>
    <s v="C1289"/>
    <s v="Customer 176"/>
    <x v="2"/>
    <s v="Ahmedabad"/>
    <s v="Gujarat"/>
    <x v="0"/>
    <x v="0"/>
    <s v="Mouse"/>
    <x v="494"/>
    <n v="55692.62"/>
    <n v="4"/>
    <n v="0.1"/>
    <n v="8518.2099999999991"/>
    <x v="1"/>
    <x v="0"/>
  </r>
  <r>
    <n v="1505"/>
    <x v="3"/>
    <d v="2024-09-19T00:00:00"/>
    <s v="C1036"/>
    <s v="Customer 247"/>
    <x v="2"/>
    <s v="Hyderabad"/>
    <s v="Telangana"/>
    <x v="2"/>
    <x v="1"/>
    <s v="Chair"/>
    <x v="495"/>
    <n v="62827.32"/>
    <n v="10"/>
    <n v="0.15"/>
    <n v="4795.8599999999997"/>
    <x v="7"/>
    <x v="0"/>
  </r>
  <r>
    <n v="1506"/>
    <x v="360"/>
    <d v="2024-05-14T00:00:00"/>
    <s v="C1054"/>
    <s v="Customer 67"/>
    <x v="2"/>
    <s v="Chennai"/>
    <s v="Tamil Nadu"/>
    <x v="2"/>
    <x v="0"/>
    <s v="Laptop"/>
    <x v="496"/>
    <n v="7385.45"/>
    <n v="3"/>
    <n v="0.3"/>
    <n v="253.57"/>
    <x v="7"/>
    <x v="1"/>
  </r>
  <r>
    <n v="1507"/>
    <x v="365"/>
    <d v="2024-02-05T00:00:00"/>
    <s v="C1014"/>
    <s v="Customer 161"/>
    <x v="2"/>
    <s v="Bhubaneswar"/>
    <s v="Odisha"/>
    <x v="3"/>
    <x v="0"/>
    <s v="Monitor"/>
    <x v="497"/>
    <n v="72450.52"/>
    <n v="8"/>
    <n v="0.1"/>
    <n v="9351.84"/>
    <x v="4"/>
    <x v="1"/>
  </r>
  <r>
    <n v="1508"/>
    <x v="366"/>
    <d v="2025-12-05T00:00:00"/>
    <s v="C1107"/>
    <s v="Customer 237"/>
    <x v="1"/>
    <s v="Bhubaneswar"/>
    <s v="Odisha"/>
    <x v="3"/>
    <x v="1"/>
    <s v="Chair"/>
    <x v="498"/>
    <n v="87861.93"/>
    <n v="5"/>
    <n v="0.05"/>
    <n v="8754.83"/>
    <x v="5"/>
    <x v="3"/>
  </r>
  <r>
    <n v="1509"/>
    <x v="367"/>
    <d v="2025-09-13T00:00:00"/>
    <s v="C1299"/>
    <s v="Customer 168"/>
    <x v="1"/>
    <s v="Bengaluru"/>
    <s v="Karnataka"/>
    <x v="2"/>
    <x v="1"/>
    <s v="Chair"/>
    <x v="499"/>
    <n v="33162.75"/>
    <n v="10"/>
    <n v="0.1"/>
    <n v="4588.74"/>
    <x v="0"/>
    <x v="3"/>
  </r>
  <r>
    <n v="1510"/>
    <x v="285"/>
    <d v="2024-03-06T00:00:00"/>
    <s v="C1252"/>
    <s v="Customer 183"/>
    <x v="0"/>
    <s v="Pune"/>
    <s v="Maharashtra"/>
    <x v="0"/>
    <x v="0"/>
    <s v="Monitor"/>
    <x v="497"/>
    <n v="49857.97"/>
    <n v="6"/>
    <n v="0.1"/>
    <n v="4600.7"/>
    <x v="5"/>
    <x v="1"/>
  </r>
  <r>
    <n v="1511"/>
    <x v="304"/>
    <d v="2024-06-05T00:00:00"/>
    <s v="C1171"/>
    <s v="Customer 170"/>
    <x v="1"/>
    <s v="Bhubaneswar"/>
    <s v="Odisha"/>
    <x v="3"/>
    <x v="2"/>
    <s v="Storage"/>
    <x v="500"/>
    <n v="55621.34"/>
    <n v="2"/>
    <n v="0.15"/>
    <n v="3223.49"/>
    <x v="7"/>
    <x v="2"/>
  </r>
  <r>
    <n v="1512"/>
    <x v="368"/>
    <d v="2024-05-28T00:00:00"/>
    <s v="C1153"/>
    <s v="Customer 239"/>
    <x v="2"/>
    <s v="Bhubaneswar"/>
    <s v="Odisha"/>
    <x v="3"/>
    <x v="2"/>
    <s v="Storage"/>
    <x v="501"/>
    <n v="33439.67"/>
    <n v="8"/>
    <n v="0.05"/>
    <n v="3458.35"/>
    <x v="0"/>
    <x v="3"/>
  </r>
  <r>
    <n v="1513"/>
    <x v="368"/>
    <d v="2024-05-25T00:00:00"/>
    <s v="C1293"/>
    <s v="Customer 41"/>
    <x v="0"/>
    <s v="Jaipur"/>
    <s v="Rajasthan"/>
    <x v="1"/>
    <x v="2"/>
    <s v="Storage"/>
    <x v="502"/>
    <n v="44150.31"/>
    <n v="1"/>
    <n v="0.1"/>
    <n v="2869.88"/>
    <x v="4"/>
    <x v="1"/>
  </r>
  <r>
    <n v="1514"/>
    <x v="298"/>
    <d v="2025-02-07T00:00:00"/>
    <s v="C1044"/>
    <s v="Customer 105"/>
    <x v="1"/>
    <s v="Chennai"/>
    <s v="Tamil Nadu"/>
    <x v="2"/>
    <x v="0"/>
    <s v="Monitor"/>
    <x v="503"/>
    <n v="69480.06"/>
    <n v="8"/>
    <n v="0.3"/>
    <n v="416.19"/>
    <x v="3"/>
    <x v="0"/>
  </r>
  <r>
    <n v="1515"/>
    <x v="118"/>
    <d v="2024-08-28T00:00:00"/>
    <s v="C1029"/>
    <s v="Customer 85"/>
    <x v="1"/>
    <s v="Bengaluru"/>
    <s v="Karnataka"/>
    <x v="2"/>
    <x v="0"/>
    <s v="Mouse"/>
    <x v="504"/>
    <n v="53227.59"/>
    <n v="10"/>
    <n v="0.15"/>
    <n v="5325.59"/>
    <x v="6"/>
    <x v="0"/>
  </r>
  <r>
    <n v="1516"/>
    <x v="369"/>
    <d v="2025-05-04T00:00:00"/>
    <s v="C1265"/>
    <s v="Customer 294"/>
    <x v="1"/>
    <s v="Delhi"/>
    <s v="Delhi"/>
    <x v="1"/>
    <x v="2"/>
    <s v="Storage"/>
    <x v="505"/>
    <n v="40665.550000000003"/>
    <n v="5"/>
    <n v="0.05"/>
    <n v="4972.72"/>
    <x v="6"/>
    <x v="2"/>
  </r>
  <r>
    <n v="1517"/>
    <x v="370"/>
    <d v="2025-09-16T00:00:00"/>
    <s v="C1189"/>
    <s v="Customer 253"/>
    <x v="0"/>
    <s v="Bhubaneswar"/>
    <s v="Odisha"/>
    <x v="3"/>
    <x v="2"/>
    <s v="Pen"/>
    <x v="506"/>
    <n v="23784.62"/>
    <n v="7"/>
    <n v="0"/>
    <n v="5509.41"/>
    <x v="2"/>
    <x v="3"/>
  </r>
  <r>
    <n v="1518"/>
    <x v="371"/>
    <d v="2025-03-18T00:00:00"/>
    <s v="C1150"/>
    <s v="Customer 15"/>
    <x v="1"/>
    <s v="Bhubaneswar"/>
    <s v="Odisha"/>
    <x v="3"/>
    <x v="2"/>
    <s v="Paper"/>
    <x v="507"/>
    <n v="12171.41"/>
    <n v="7"/>
    <n v="0.15"/>
    <n v="1859.2"/>
    <x v="3"/>
    <x v="0"/>
  </r>
  <r>
    <n v="1519"/>
    <x v="372"/>
    <d v="2024-11-28T00:00:00"/>
    <s v="C1264"/>
    <s v="Customer 80"/>
    <x v="0"/>
    <s v="Bengaluru"/>
    <s v="Karnataka"/>
    <x v="2"/>
    <x v="0"/>
    <s v="Monitor"/>
    <x v="508"/>
    <n v="33689.71"/>
    <n v="5"/>
    <n v="0"/>
    <n v="3846.97"/>
    <x v="5"/>
    <x v="0"/>
  </r>
  <r>
    <n v="1520"/>
    <x v="373"/>
    <d v="2025-02-24T00:00:00"/>
    <s v="C1052"/>
    <s v="Customer 45"/>
    <x v="2"/>
    <s v="Patna"/>
    <s v="Bihar"/>
    <x v="3"/>
    <x v="0"/>
    <s v="Mouse"/>
    <x v="509"/>
    <n v="33861.57"/>
    <n v="5"/>
    <n v="0.15"/>
    <n v="3751.5"/>
    <x v="2"/>
    <x v="2"/>
  </r>
  <r>
    <n v="1521"/>
    <x v="270"/>
    <d v="2024-01-05T00:00:00"/>
    <s v="C1209"/>
    <s v="Customer 10"/>
    <x v="1"/>
    <s v="Kolkata"/>
    <s v="West Bengal"/>
    <x v="3"/>
    <x v="0"/>
    <s v="Keyboard"/>
    <x v="510"/>
    <n v="20462.939999999999"/>
    <n v="9"/>
    <n v="0.15"/>
    <n v="3845.07"/>
    <x v="2"/>
    <x v="2"/>
  </r>
  <r>
    <n v="1522"/>
    <x v="374"/>
    <d v="2025-10-28T00:00:00"/>
    <s v="C1023"/>
    <s v="Customer 48"/>
    <x v="0"/>
    <s v="Bengaluru"/>
    <s v="Karnataka"/>
    <x v="2"/>
    <x v="1"/>
    <s v="Chair"/>
    <x v="511"/>
    <n v="46967.26"/>
    <n v="9"/>
    <n v="0.1"/>
    <n v="2689.69"/>
    <x v="5"/>
    <x v="1"/>
  </r>
  <r>
    <n v="1523"/>
    <x v="375"/>
    <d v="2024-06-12T00:00:00"/>
    <s v="C1053"/>
    <s v="Customer 298"/>
    <x v="0"/>
    <s v="Bengaluru"/>
    <s v="Karnataka"/>
    <x v="2"/>
    <x v="1"/>
    <s v="Sofa"/>
    <x v="512"/>
    <n v="35349.68"/>
    <n v="7"/>
    <n v="0.1"/>
    <n v="2777.45"/>
    <x v="2"/>
    <x v="3"/>
  </r>
  <r>
    <n v="1524"/>
    <x v="376"/>
    <d v="2025-05-14T00:00:00"/>
    <s v="C1190"/>
    <s v="Customer 213"/>
    <x v="1"/>
    <s v="Ahmedabad"/>
    <s v="Gujarat"/>
    <x v="0"/>
    <x v="1"/>
    <s v="Chair"/>
    <x v="513"/>
    <n v="40952.33"/>
    <n v="5"/>
    <n v="0.15"/>
    <n v="4369.3100000000004"/>
    <x v="5"/>
    <x v="1"/>
  </r>
  <r>
    <n v="1525"/>
    <x v="69"/>
    <d v="2024-04-29T00:00:00"/>
    <s v="C1098"/>
    <s v="Customer 40"/>
    <x v="1"/>
    <s v="Jaipur"/>
    <s v="Rajasthan"/>
    <x v="1"/>
    <x v="1"/>
    <s v="Sofa"/>
    <x v="514"/>
    <n v="50453.62"/>
    <n v="5"/>
    <n v="0.25"/>
    <n v="-20.82"/>
    <x v="1"/>
    <x v="0"/>
  </r>
  <r>
    <n v="1526"/>
    <x v="377"/>
    <d v="2025-08-31T00:00:00"/>
    <s v="C1121"/>
    <s v="Customer 133"/>
    <x v="1"/>
    <s v="Patna"/>
    <s v="Bihar"/>
    <x v="3"/>
    <x v="0"/>
    <s v="Phone"/>
    <x v="515"/>
    <n v="50483.12"/>
    <n v="5"/>
    <n v="0.15"/>
    <n v="8050.41"/>
    <x v="7"/>
    <x v="3"/>
  </r>
  <r>
    <n v="1527"/>
    <x v="378"/>
    <d v="2025-11-19T00:00:00"/>
    <s v="C1144"/>
    <s v="Customer 104"/>
    <x v="1"/>
    <s v="Pune"/>
    <s v="Maharashtra"/>
    <x v="0"/>
    <x v="0"/>
    <s v="Phone"/>
    <x v="516"/>
    <n v="29542.93"/>
    <n v="2"/>
    <n v="0.1"/>
    <n v="1840.03"/>
    <x v="5"/>
    <x v="0"/>
  </r>
  <r>
    <n v="1528"/>
    <x v="379"/>
    <d v="2024-07-16T00:00:00"/>
    <s v="C1245"/>
    <s v="Customer 161"/>
    <x v="2"/>
    <s v="Kolkata"/>
    <s v="West Bengal"/>
    <x v="3"/>
    <x v="0"/>
    <s v="Keyboard"/>
    <x v="517"/>
    <n v="37467.269999999997"/>
    <n v="8"/>
    <n v="0.05"/>
    <n v="9282.74"/>
    <x v="6"/>
    <x v="0"/>
  </r>
  <r>
    <n v="1529"/>
    <x v="380"/>
    <d v="2025-03-28T00:00:00"/>
    <s v="C1069"/>
    <s v="Customer 154"/>
    <x v="2"/>
    <s v="Lucknow"/>
    <s v="Uttar Pradesh"/>
    <x v="1"/>
    <x v="2"/>
    <s v="Paper"/>
    <x v="518"/>
    <n v="10073.959999999999"/>
    <n v="6"/>
    <n v="0.3"/>
    <n v="952.65"/>
    <x v="4"/>
    <x v="0"/>
  </r>
  <r>
    <n v="1530"/>
    <x v="381"/>
    <d v="2024-11-05T00:00:00"/>
    <s v="C1265"/>
    <s v="Customer 10"/>
    <x v="2"/>
    <s v="Ahmedabad"/>
    <s v="Gujarat"/>
    <x v="0"/>
    <x v="1"/>
    <s v="Bookcase"/>
    <x v="519"/>
    <n v="45376.61"/>
    <n v="5"/>
    <n v="0.25"/>
    <n v="8851.23"/>
    <x v="4"/>
    <x v="1"/>
  </r>
  <r>
    <n v="1531"/>
    <x v="8"/>
    <d v="2024-09-26T00:00:00"/>
    <s v="C1126"/>
    <s v="Customer 165"/>
    <x v="1"/>
    <s v="Bhubaneswar"/>
    <s v="Odisha"/>
    <x v="3"/>
    <x v="2"/>
    <s v="Binder"/>
    <x v="520"/>
    <n v="30008.12"/>
    <n v="4"/>
    <n v="0.3"/>
    <n v="502.23"/>
    <x v="4"/>
    <x v="1"/>
  </r>
  <r>
    <n v="1532"/>
    <x v="382"/>
    <d v="2024-02-10T00:00:00"/>
    <s v="C1199"/>
    <s v="Customer 188"/>
    <x v="2"/>
    <s v="Kolkata"/>
    <s v="West Bengal"/>
    <x v="3"/>
    <x v="1"/>
    <s v="Sofa"/>
    <x v="521"/>
    <n v="57016.07"/>
    <n v="9"/>
    <n v="0.3"/>
    <n v="-1577.06"/>
    <x v="7"/>
    <x v="0"/>
  </r>
  <r>
    <n v="1533"/>
    <x v="383"/>
    <d v="2024-11-01T00:00:00"/>
    <s v="C1174"/>
    <s v="Customer 235"/>
    <x v="1"/>
    <s v="Patna"/>
    <s v="Bihar"/>
    <x v="3"/>
    <x v="1"/>
    <s v="Bookcase"/>
    <x v="522"/>
    <n v="39520.28"/>
    <n v="1"/>
    <n v="0.25"/>
    <n v="6482.05"/>
    <x v="0"/>
    <x v="1"/>
  </r>
  <r>
    <n v="1534"/>
    <x v="384"/>
    <d v="2024-05-13T00:00:00"/>
    <s v="C1242"/>
    <s v="Customer 244"/>
    <x v="2"/>
    <s v="Bengaluru"/>
    <s v="Karnataka"/>
    <x v="2"/>
    <x v="0"/>
    <s v="Keyboard"/>
    <x v="523"/>
    <n v="28367.19"/>
    <n v="5"/>
    <n v="0"/>
    <n v="7002.69"/>
    <x v="3"/>
    <x v="0"/>
  </r>
  <r>
    <n v="1535"/>
    <x v="138"/>
    <d v="2024-05-09T00:00:00"/>
    <s v="C1194"/>
    <s v="Customer 290"/>
    <x v="1"/>
    <s v="Ahmedabad"/>
    <s v="Gujarat"/>
    <x v="0"/>
    <x v="0"/>
    <s v="Laptop"/>
    <x v="524"/>
    <n v="39929.1"/>
    <n v="9"/>
    <n v="0.3"/>
    <n v="6256.78"/>
    <x v="3"/>
    <x v="1"/>
  </r>
  <r>
    <n v="1536"/>
    <x v="385"/>
    <d v="2025-08-21T00:00:00"/>
    <s v="C1135"/>
    <s v="Customer 295"/>
    <x v="2"/>
    <s v="Mumbai"/>
    <s v="Maharashtra"/>
    <x v="0"/>
    <x v="1"/>
    <s v="Sofa"/>
    <x v="525"/>
    <n v="16054.16"/>
    <n v="2"/>
    <n v="0.15"/>
    <n v="1507.46"/>
    <x v="7"/>
    <x v="2"/>
  </r>
  <r>
    <n v="1537"/>
    <x v="228"/>
    <d v="2025-05-11T00:00:00"/>
    <s v="C1268"/>
    <s v="Customer 231"/>
    <x v="2"/>
    <s v="Chennai"/>
    <s v="Tamil Nadu"/>
    <x v="2"/>
    <x v="2"/>
    <s v="Binder"/>
    <x v="526"/>
    <n v="72729.14"/>
    <n v="7"/>
    <n v="0.15"/>
    <n v="2906.83"/>
    <x v="5"/>
    <x v="3"/>
  </r>
  <r>
    <n v="1538"/>
    <x v="386"/>
    <d v="2024-09-03T00:00:00"/>
    <s v="C1158"/>
    <s v="Customer 143"/>
    <x v="0"/>
    <s v="Lucknow"/>
    <s v="Uttar Pradesh"/>
    <x v="1"/>
    <x v="0"/>
    <s v="Monitor"/>
    <x v="527"/>
    <n v="41463.79"/>
    <n v="10"/>
    <n v="0.05"/>
    <n v="9118.52"/>
    <x v="3"/>
    <x v="0"/>
  </r>
  <r>
    <n v="1539"/>
    <x v="237"/>
    <d v="2024-04-26T00:00:00"/>
    <s v="C1024"/>
    <s v="Customer 155"/>
    <x v="0"/>
    <s v="Hyderabad"/>
    <s v="Telangana"/>
    <x v="2"/>
    <x v="1"/>
    <s v="Chair"/>
    <x v="528"/>
    <n v="37406"/>
    <n v="8"/>
    <n v="0.1"/>
    <n v="7240.55"/>
    <x v="1"/>
    <x v="1"/>
  </r>
  <r>
    <n v="1540"/>
    <x v="268"/>
    <d v="2024-10-07T00:00:00"/>
    <s v="C1060"/>
    <s v="Customer 8"/>
    <x v="2"/>
    <s v="Lucknow"/>
    <s v="Uttar Pradesh"/>
    <x v="1"/>
    <x v="0"/>
    <s v="Phone"/>
    <x v="529"/>
    <n v="13076.2"/>
    <n v="9"/>
    <n v="0"/>
    <n v="3194.69"/>
    <x v="2"/>
    <x v="1"/>
  </r>
  <r>
    <n v="1541"/>
    <x v="387"/>
    <d v="2024-03-25T00:00:00"/>
    <s v="C1034"/>
    <s v="Customer 201"/>
    <x v="0"/>
    <s v="Mumbai"/>
    <s v="Maharashtra"/>
    <x v="0"/>
    <x v="2"/>
    <s v="Binder"/>
    <x v="530"/>
    <n v="2561.11"/>
    <n v="5"/>
    <n v="0.05"/>
    <n v="189.84"/>
    <x v="4"/>
    <x v="1"/>
  </r>
  <r>
    <n v="1542"/>
    <x v="388"/>
    <d v="2024-10-08T00:00:00"/>
    <s v="C1212"/>
    <s v="Customer 13"/>
    <x v="0"/>
    <s v="Jaipur"/>
    <s v="Rajasthan"/>
    <x v="1"/>
    <x v="2"/>
    <s v="Pen"/>
    <x v="531"/>
    <n v="20569.37"/>
    <n v="1"/>
    <n v="0.15"/>
    <n v="456.79"/>
    <x v="6"/>
    <x v="0"/>
  </r>
  <r>
    <n v="1543"/>
    <x v="389"/>
    <d v="2024-01-08T00:00:00"/>
    <s v="C1238"/>
    <s v="Customer 148"/>
    <x v="0"/>
    <s v="Bengaluru"/>
    <s v="Karnataka"/>
    <x v="2"/>
    <x v="1"/>
    <s v="Chair"/>
    <x v="532"/>
    <n v="11832.8"/>
    <n v="8"/>
    <n v="0.15"/>
    <n v="1546.79"/>
    <x v="4"/>
    <x v="0"/>
  </r>
  <r>
    <n v="1544"/>
    <x v="45"/>
    <d v="2025-02-07T00:00:00"/>
    <s v="C1044"/>
    <s v="Customer 166"/>
    <x v="0"/>
    <s v="Jaipur"/>
    <s v="Rajasthan"/>
    <x v="1"/>
    <x v="1"/>
    <s v="Table"/>
    <x v="533"/>
    <n v="10675.19"/>
    <n v="8"/>
    <n v="0.15"/>
    <n v="922.33"/>
    <x v="6"/>
    <x v="3"/>
  </r>
  <r>
    <n v="1545"/>
    <x v="390"/>
    <d v="2025-07-27T00:00:00"/>
    <s v="C1278"/>
    <s v="Customer 254"/>
    <x v="1"/>
    <s v="Bengaluru"/>
    <s v="Karnataka"/>
    <x v="2"/>
    <x v="1"/>
    <s v="Sofa"/>
    <x v="534"/>
    <n v="46819.07"/>
    <n v="1"/>
    <n v="0"/>
    <n v="6394.05"/>
    <x v="4"/>
    <x v="2"/>
  </r>
  <r>
    <n v="1546"/>
    <x v="190"/>
    <d v="2024-12-06T00:00:00"/>
    <s v="C1182"/>
    <s v="Customer 61"/>
    <x v="1"/>
    <s v="Bengaluru"/>
    <s v="Karnataka"/>
    <x v="2"/>
    <x v="1"/>
    <s v="Sofa"/>
    <x v="535"/>
    <n v="40625.839999999997"/>
    <n v="9"/>
    <n v="0.05"/>
    <n v="4431.24"/>
    <x v="0"/>
    <x v="2"/>
  </r>
  <r>
    <n v="1547"/>
    <x v="391"/>
    <d v="2025-02-15T00:00:00"/>
    <s v="C1137"/>
    <s v="Customer 224"/>
    <x v="1"/>
    <s v="Lucknow"/>
    <s v="Uttar Pradesh"/>
    <x v="1"/>
    <x v="0"/>
    <s v="Laptop"/>
    <x v="536"/>
    <n v="49661.63"/>
    <n v="10"/>
    <n v="0.15"/>
    <n v="5573.06"/>
    <x v="1"/>
    <x v="0"/>
  </r>
  <r>
    <n v="1548"/>
    <x v="251"/>
    <d v="2025-04-27T00:00:00"/>
    <s v="C1074"/>
    <s v="Customer 242"/>
    <x v="0"/>
    <s v="Lucknow"/>
    <s v="Uttar Pradesh"/>
    <x v="1"/>
    <x v="1"/>
    <s v="Sofa"/>
    <x v="537"/>
    <n v="60698.8"/>
    <n v="5"/>
    <n v="0.25"/>
    <n v="1118.58"/>
    <x v="0"/>
    <x v="2"/>
  </r>
  <r>
    <n v="1549"/>
    <x v="376"/>
    <d v="2025-05-14T00:00:00"/>
    <s v="C1231"/>
    <s v="Customer 155"/>
    <x v="1"/>
    <s v="Jaipur"/>
    <s v="Rajasthan"/>
    <x v="1"/>
    <x v="2"/>
    <s v="Paper"/>
    <x v="538"/>
    <n v="77311.25"/>
    <n v="8"/>
    <n v="0.3"/>
    <n v="-2074.7199999999998"/>
    <x v="1"/>
    <x v="2"/>
  </r>
  <r>
    <n v="1550"/>
    <x v="59"/>
    <d v="2025-08-12T00:00:00"/>
    <s v="C1104"/>
    <s v="Customer 226"/>
    <x v="2"/>
    <s v="Kolkata"/>
    <s v="West Bengal"/>
    <x v="3"/>
    <x v="0"/>
    <s v="Laptop"/>
    <x v="539"/>
    <n v="64740.81"/>
    <n v="1"/>
    <n v="0.2"/>
    <n v="13030.99"/>
    <x v="7"/>
    <x v="3"/>
  </r>
  <r>
    <n v="1551"/>
    <x v="117"/>
    <d v="2025-05-28T00:00:00"/>
    <s v="C1276"/>
    <s v="Customer 69"/>
    <x v="2"/>
    <s v="Pune"/>
    <s v="Maharashtra"/>
    <x v="0"/>
    <x v="0"/>
    <s v="Mouse"/>
    <x v="540"/>
    <n v="15099.03"/>
    <n v="4"/>
    <n v="0.2"/>
    <n v="138.99"/>
    <x v="7"/>
    <x v="1"/>
  </r>
  <r>
    <n v="1552"/>
    <x v="364"/>
    <d v="2025-03-30T00:00:00"/>
    <s v="C1258"/>
    <s v="Customer 151"/>
    <x v="0"/>
    <s v="Kolkata"/>
    <s v="West Bengal"/>
    <x v="3"/>
    <x v="2"/>
    <s v="Binder"/>
    <x v="541"/>
    <n v="68433.460000000006"/>
    <n v="9"/>
    <n v="0.25"/>
    <n v="6491.69"/>
    <x v="0"/>
    <x v="1"/>
  </r>
  <r>
    <n v="1553"/>
    <x v="392"/>
    <d v="2024-01-09T00:00:00"/>
    <s v="C1259"/>
    <s v="Customer 103"/>
    <x v="2"/>
    <s v="Bhubaneswar"/>
    <s v="Odisha"/>
    <x v="3"/>
    <x v="2"/>
    <s v="Binder"/>
    <x v="542"/>
    <n v="39020.97"/>
    <n v="6"/>
    <n v="0.25"/>
    <n v="7169.57"/>
    <x v="4"/>
    <x v="2"/>
  </r>
  <r>
    <n v="1554"/>
    <x v="213"/>
    <d v="2025-03-05T00:00:00"/>
    <s v="C1083"/>
    <s v="Customer 54"/>
    <x v="2"/>
    <s v="Kolkata"/>
    <s v="West Bengal"/>
    <x v="3"/>
    <x v="1"/>
    <s v="Bookcase"/>
    <x v="543"/>
    <n v="72897.94"/>
    <n v="4"/>
    <n v="0.1"/>
    <n v="17295.28"/>
    <x v="5"/>
    <x v="1"/>
  </r>
  <r>
    <n v="1555"/>
    <x v="367"/>
    <d v="2025-09-14T00:00:00"/>
    <s v="C1158"/>
    <s v="Customer 156"/>
    <x v="0"/>
    <s v="Pune"/>
    <s v="Maharashtra"/>
    <x v="0"/>
    <x v="2"/>
    <s v="Binder"/>
    <x v="544"/>
    <n v="42566.5"/>
    <n v="6"/>
    <n v="0.3"/>
    <n v="4802.5200000000004"/>
    <x v="2"/>
    <x v="2"/>
  </r>
  <r>
    <n v="1556"/>
    <x v="60"/>
    <d v="2024-12-09T00:00:00"/>
    <s v="C1019"/>
    <s v="Customer 84"/>
    <x v="0"/>
    <s v="Bhubaneswar"/>
    <s v="Odisha"/>
    <x v="3"/>
    <x v="0"/>
    <s v="Phone"/>
    <x v="545"/>
    <n v="19128.98"/>
    <n v="1"/>
    <n v="0.1"/>
    <n v="1318.36"/>
    <x v="3"/>
    <x v="1"/>
  </r>
  <r>
    <n v="1557"/>
    <x v="341"/>
    <d v="2024-11-05T00:00:00"/>
    <s v="C1131"/>
    <s v="Customer 143"/>
    <x v="1"/>
    <s v="Kolkata"/>
    <s v="West Bengal"/>
    <x v="3"/>
    <x v="0"/>
    <s v="Phone"/>
    <x v="529"/>
    <n v="14475.98"/>
    <n v="2"/>
    <n v="0.2"/>
    <n v="734.95"/>
    <x v="6"/>
    <x v="3"/>
  </r>
  <r>
    <n v="1558"/>
    <x v="50"/>
    <d v="2024-12-15T00:00:00"/>
    <s v="C1169"/>
    <s v="Customer 157"/>
    <x v="1"/>
    <s v="Ahmedabad"/>
    <s v="Gujarat"/>
    <x v="0"/>
    <x v="1"/>
    <s v="Table"/>
    <x v="546"/>
    <n v="3685.81"/>
    <n v="2"/>
    <n v="0.05"/>
    <n v="860.98"/>
    <x v="3"/>
    <x v="2"/>
  </r>
  <r>
    <n v="1559"/>
    <x v="393"/>
    <d v="2024-10-01T00:00:00"/>
    <s v="C1267"/>
    <s v="Customer 74"/>
    <x v="2"/>
    <s v="Mumbai"/>
    <s v="Maharashtra"/>
    <x v="0"/>
    <x v="0"/>
    <s v="Laptop"/>
    <x v="547"/>
    <n v="86632.98"/>
    <n v="1"/>
    <n v="0"/>
    <n v="15316.74"/>
    <x v="7"/>
    <x v="0"/>
  </r>
  <r>
    <n v="1560"/>
    <x v="369"/>
    <d v="2025-05-06T00:00:00"/>
    <s v="C1255"/>
    <s v="Customer 276"/>
    <x v="2"/>
    <s v="Pune"/>
    <s v="Maharashtra"/>
    <x v="0"/>
    <x v="1"/>
    <s v="Chair"/>
    <x v="548"/>
    <n v="42155.02"/>
    <n v="2"/>
    <n v="0.25"/>
    <n v="-65.13"/>
    <x v="3"/>
    <x v="0"/>
  </r>
  <r>
    <n v="1561"/>
    <x v="393"/>
    <d v="2024-09-29T00:00:00"/>
    <s v="C1268"/>
    <s v="Customer 114"/>
    <x v="2"/>
    <s v="Ahmedabad"/>
    <s v="Gujarat"/>
    <x v="0"/>
    <x v="2"/>
    <s v="Notebook"/>
    <x v="549"/>
    <n v="41440.379999999997"/>
    <n v="1"/>
    <n v="0.1"/>
    <n v="7886.54"/>
    <x v="4"/>
    <x v="3"/>
  </r>
  <r>
    <n v="1562"/>
    <x v="394"/>
    <d v="2024-08-07T00:00:00"/>
    <s v="C1018"/>
    <s v="Customer 85"/>
    <x v="0"/>
    <s v="Bengaluru"/>
    <s v="Karnataka"/>
    <x v="2"/>
    <x v="2"/>
    <s v="Storage"/>
    <x v="550"/>
    <n v="15657.76"/>
    <n v="10"/>
    <n v="0.1"/>
    <n v="711.44"/>
    <x v="1"/>
    <x v="3"/>
  </r>
  <r>
    <n v="1563"/>
    <x v="186"/>
    <d v="2024-03-16T00:00:00"/>
    <s v="C1246"/>
    <s v="Customer 152"/>
    <x v="2"/>
    <s v="Chennai"/>
    <s v="Tamil Nadu"/>
    <x v="2"/>
    <x v="2"/>
    <s v="Notebook"/>
    <x v="551"/>
    <n v="3487.83"/>
    <n v="5"/>
    <n v="0.15"/>
    <n v="735.8"/>
    <x v="7"/>
    <x v="2"/>
  </r>
  <r>
    <n v="1564"/>
    <x v="395"/>
    <d v="2025-10-11T00:00:00"/>
    <s v="C1265"/>
    <s v="Customer 8"/>
    <x v="2"/>
    <s v="Kolkata"/>
    <s v="West Bengal"/>
    <x v="3"/>
    <x v="0"/>
    <s v="Mouse"/>
    <x v="552"/>
    <n v="4842.16"/>
    <n v="8"/>
    <n v="0.1"/>
    <n v="211.42"/>
    <x v="6"/>
    <x v="3"/>
  </r>
  <r>
    <n v="1565"/>
    <x v="269"/>
    <d v="2025-06-02T00:00:00"/>
    <s v="C1260"/>
    <s v="Customer 95"/>
    <x v="1"/>
    <s v="Mumbai"/>
    <s v="Maharashtra"/>
    <x v="0"/>
    <x v="0"/>
    <s v="Laptop"/>
    <x v="553"/>
    <n v="17235.03"/>
    <n v="9"/>
    <n v="0.3"/>
    <n v="3007.5"/>
    <x v="4"/>
    <x v="2"/>
  </r>
  <r>
    <n v="1566"/>
    <x v="111"/>
    <d v="2025-04-14T00:00:00"/>
    <s v="C1265"/>
    <s v="Customer 250"/>
    <x v="0"/>
    <s v="Kolkata"/>
    <s v="West Bengal"/>
    <x v="3"/>
    <x v="2"/>
    <s v="Storage"/>
    <x v="554"/>
    <n v="38125.56"/>
    <n v="2"/>
    <n v="0.1"/>
    <n v="3050.62"/>
    <x v="6"/>
    <x v="0"/>
  </r>
  <r>
    <n v="1567"/>
    <x v="396"/>
    <d v="2025-10-07T00:00:00"/>
    <s v="C1261"/>
    <s v="Customer 194"/>
    <x v="1"/>
    <s v="Ahmedabad"/>
    <s v="Gujarat"/>
    <x v="0"/>
    <x v="2"/>
    <s v="Storage"/>
    <x v="555"/>
    <n v="25785.73"/>
    <n v="6"/>
    <n v="0.05"/>
    <n v="5492.71"/>
    <x v="4"/>
    <x v="0"/>
  </r>
  <r>
    <n v="1568"/>
    <x v="397"/>
    <d v="2025-07-20T00:00:00"/>
    <s v="C1089"/>
    <s v="Customer 121"/>
    <x v="2"/>
    <s v="Patna"/>
    <s v="Bihar"/>
    <x v="3"/>
    <x v="1"/>
    <s v="Sofa"/>
    <x v="556"/>
    <n v="73238.47"/>
    <n v="10"/>
    <n v="0.25"/>
    <n v="4207.0600000000004"/>
    <x v="5"/>
    <x v="2"/>
  </r>
  <r>
    <n v="1569"/>
    <x v="97"/>
    <d v="2024-10-01T00:00:00"/>
    <s v="C1115"/>
    <s v="Customer 110"/>
    <x v="0"/>
    <s v="Pune"/>
    <s v="Maharashtra"/>
    <x v="0"/>
    <x v="0"/>
    <s v="Monitor"/>
    <x v="557"/>
    <n v="19131.07"/>
    <n v="10"/>
    <n v="0.05"/>
    <n v="5151.1499999999996"/>
    <x v="1"/>
    <x v="2"/>
  </r>
  <r>
    <n v="1570"/>
    <x v="166"/>
    <d v="2025-01-23T00:00:00"/>
    <s v="C1059"/>
    <s v="Customer 214"/>
    <x v="1"/>
    <s v="Kolkata"/>
    <s v="West Bengal"/>
    <x v="3"/>
    <x v="1"/>
    <s v="Table"/>
    <x v="558"/>
    <n v="15984.33"/>
    <n v="8"/>
    <n v="0.2"/>
    <n v="3309.01"/>
    <x v="5"/>
    <x v="3"/>
  </r>
  <r>
    <n v="1571"/>
    <x v="99"/>
    <d v="2025-11-18T00:00:00"/>
    <s v="C1055"/>
    <s v="Customer 42"/>
    <x v="0"/>
    <s v="Bhubaneswar"/>
    <s v="Odisha"/>
    <x v="3"/>
    <x v="2"/>
    <s v="Notebook"/>
    <x v="559"/>
    <n v="20979.73"/>
    <n v="1"/>
    <n v="0.15"/>
    <n v="469.35"/>
    <x v="1"/>
    <x v="2"/>
  </r>
  <r>
    <n v="1572"/>
    <x v="136"/>
    <d v="2025-09-12T00:00:00"/>
    <s v="C1164"/>
    <s v="Customer 133"/>
    <x v="0"/>
    <s v="Kolkata"/>
    <s v="West Bengal"/>
    <x v="3"/>
    <x v="2"/>
    <s v="Notebook"/>
    <x v="560"/>
    <n v="54479.86"/>
    <n v="5"/>
    <n v="0"/>
    <n v="8271.02"/>
    <x v="5"/>
    <x v="3"/>
  </r>
  <r>
    <n v="1573"/>
    <x v="398"/>
    <d v="2024-12-05T00:00:00"/>
    <s v="C1259"/>
    <s v="Customer 102"/>
    <x v="2"/>
    <s v="Delhi"/>
    <s v="Delhi"/>
    <x v="1"/>
    <x v="1"/>
    <s v="Table"/>
    <x v="561"/>
    <n v="51069.79"/>
    <n v="3"/>
    <n v="0.05"/>
    <n v="13079.92"/>
    <x v="7"/>
    <x v="0"/>
  </r>
  <r>
    <n v="1574"/>
    <x v="399"/>
    <d v="2025-04-11T00:00:00"/>
    <s v="C1124"/>
    <s v="Customer 68"/>
    <x v="1"/>
    <s v="Bengaluru"/>
    <s v="Karnataka"/>
    <x v="2"/>
    <x v="2"/>
    <s v="Binder"/>
    <x v="468"/>
    <n v="52886.05"/>
    <n v="2"/>
    <n v="0.1"/>
    <n v="13169.39"/>
    <x v="0"/>
    <x v="0"/>
  </r>
  <r>
    <n v="1575"/>
    <x v="400"/>
    <d v="2024-11-26T00:00:00"/>
    <s v="C1268"/>
    <s v="Customer 290"/>
    <x v="2"/>
    <s v="Ahmedabad"/>
    <s v="Gujarat"/>
    <x v="0"/>
    <x v="2"/>
    <s v="Paper"/>
    <x v="562"/>
    <n v="36027.440000000002"/>
    <n v="5"/>
    <n v="0"/>
    <n v="8232.0300000000007"/>
    <x v="2"/>
    <x v="2"/>
  </r>
  <r>
    <n v="1576"/>
    <x v="401"/>
    <d v="2024-08-08T00:00:00"/>
    <s v="C1027"/>
    <s v="Customer 185"/>
    <x v="1"/>
    <s v="Lucknow"/>
    <s v="Uttar Pradesh"/>
    <x v="1"/>
    <x v="0"/>
    <s v="Phone"/>
    <x v="563"/>
    <n v="616.37"/>
    <n v="5"/>
    <n v="0.25"/>
    <n v="25.95"/>
    <x v="7"/>
    <x v="0"/>
  </r>
  <r>
    <n v="1577"/>
    <x v="24"/>
    <d v="2024-08-16T00:00:00"/>
    <s v="C1278"/>
    <s v="Customer 226"/>
    <x v="2"/>
    <s v="Jaipur"/>
    <s v="Rajasthan"/>
    <x v="1"/>
    <x v="2"/>
    <s v="Paper"/>
    <x v="564"/>
    <n v="25315.81"/>
    <n v="7"/>
    <n v="0.2"/>
    <n v="1601.07"/>
    <x v="6"/>
    <x v="3"/>
  </r>
  <r>
    <n v="1578"/>
    <x v="317"/>
    <d v="2025-09-15T00:00:00"/>
    <s v="C1012"/>
    <s v="Customer 200"/>
    <x v="0"/>
    <s v="Bhubaneswar"/>
    <s v="Odisha"/>
    <x v="3"/>
    <x v="0"/>
    <s v="Monitor"/>
    <x v="565"/>
    <n v="9503.7000000000007"/>
    <n v="5"/>
    <n v="0.15"/>
    <n v="992.75"/>
    <x v="2"/>
    <x v="3"/>
  </r>
  <r>
    <n v="1579"/>
    <x v="399"/>
    <d v="2025-04-09T00:00:00"/>
    <s v="C1022"/>
    <s v="Customer 117"/>
    <x v="0"/>
    <s v="Bengaluru"/>
    <s v="Karnataka"/>
    <x v="2"/>
    <x v="0"/>
    <s v="Mouse"/>
    <x v="566"/>
    <n v="83861.600000000006"/>
    <n v="2"/>
    <n v="0"/>
    <n v="13152.87"/>
    <x v="7"/>
    <x v="0"/>
  </r>
  <r>
    <n v="1580"/>
    <x v="0"/>
    <d v="2025-03-06T00:00:00"/>
    <s v="C1042"/>
    <s v="Customer 195"/>
    <x v="2"/>
    <s v="Patna"/>
    <s v="Bihar"/>
    <x v="3"/>
    <x v="2"/>
    <s v="Notebook"/>
    <x v="567"/>
    <n v="73501.55"/>
    <n v="6"/>
    <n v="0.25"/>
    <n v="1975.85"/>
    <x v="3"/>
    <x v="3"/>
  </r>
  <r>
    <n v="1581"/>
    <x v="402"/>
    <d v="2024-11-03T00:00:00"/>
    <s v="C1011"/>
    <s v="Customer 258"/>
    <x v="2"/>
    <s v="Bengaluru"/>
    <s v="Karnataka"/>
    <x v="2"/>
    <x v="2"/>
    <s v="Notebook"/>
    <x v="568"/>
    <n v="44972.26"/>
    <n v="4"/>
    <n v="0.05"/>
    <n v="10153.620000000001"/>
    <x v="7"/>
    <x v="1"/>
  </r>
  <r>
    <n v="1582"/>
    <x v="217"/>
    <d v="2025-10-08T00:00:00"/>
    <s v="C1161"/>
    <s v="Customer 45"/>
    <x v="0"/>
    <s v="Hyderabad"/>
    <s v="Telangana"/>
    <x v="2"/>
    <x v="0"/>
    <s v="Phone"/>
    <x v="569"/>
    <n v="22113.040000000001"/>
    <n v="5"/>
    <n v="0.15"/>
    <n v="4223.68"/>
    <x v="0"/>
    <x v="2"/>
  </r>
  <r>
    <n v="1583"/>
    <x v="403"/>
    <d v="2025-04-23T00:00:00"/>
    <s v="C1200"/>
    <s v="Customer 29"/>
    <x v="0"/>
    <s v="Chennai"/>
    <s v="Tamil Nadu"/>
    <x v="2"/>
    <x v="0"/>
    <s v="Keyboard"/>
    <x v="570"/>
    <n v="4720.8100000000004"/>
    <n v="6"/>
    <n v="0.3"/>
    <n v="-42.87"/>
    <x v="6"/>
    <x v="1"/>
  </r>
  <r>
    <n v="1584"/>
    <x v="404"/>
    <d v="2025-08-07T00:00:00"/>
    <s v="C1006"/>
    <s v="Customer 181"/>
    <x v="1"/>
    <s v="Hyderabad"/>
    <s v="Telangana"/>
    <x v="2"/>
    <x v="2"/>
    <s v="Notebook"/>
    <x v="571"/>
    <n v="14751.36"/>
    <n v="10"/>
    <n v="0.1"/>
    <n v="1895.85"/>
    <x v="2"/>
    <x v="3"/>
  </r>
  <r>
    <n v="1585"/>
    <x v="273"/>
    <d v="2024-09-28T00:00:00"/>
    <s v="C1138"/>
    <s v="Customer 134"/>
    <x v="2"/>
    <s v="Mumbai"/>
    <s v="Maharashtra"/>
    <x v="0"/>
    <x v="0"/>
    <s v="Monitor"/>
    <x v="572"/>
    <n v="17363.66"/>
    <n v="10"/>
    <n v="0.2"/>
    <n v="856.08"/>
    <x v="5"/>
    <x v="0"/>
  </r>
  <r>
    <n v="1586"/>
    <x v="405"/>
    <d v="2025-10-31T00:00:00"/>
    <s v="C1024"/>
    <s v="Customer 143"/>
    <x v="0"/>
    <s v="Ahmedabad"/>
    <s v="Gujarat"/>
    <x v="0"/>
    <x v="0"/>
    <s v="Laptop"/>
    <x v="573"/>
    <n v="5173.24"/>
    <n v="9"/>
    <n v="0.05"/>
    <n v="1298.81"/>
    <x v="6"/>
    <x v="2"/>
  </r>
  <r>
    <n v="1587"/>
    <x v="373"/>
    <d v="2025-02-22T00:00:00"/>
    <s v="C1077"/>
    <s v="Customer 242"/>
    <x v="1"/>
    <s v="Ahmedabad"/>
    <s v="Gujarat"/>
    <x v="0"/>
    <x v="0"/>
    <s v="Laptop"/>
    <x v="574"/>
    <n v="9934.84"/>
    <n v="3"/>
    <n v="0.05"/>
    <n v="1528.91"/>
    <x v="0"/>
    <x v="0"/>
  </r>
  <r>
    <n v="1588"/>
    <x v="406"/>
    <d v="2024-12-28T00:00:00"/>
    <s v="C1192"/>
    <s v="Customer 161"/>
    <x v="0"/>
    <s v="Jaipur"/>
    <s v="Rajasthan"/>
    <x v="1"/>
    <x v="1"/>
    <s v="Bookcase"/>
    <x v="575"/>
    <n v="13666.3"/>
    <n v="6"/>
    <n v="0.05"/>
    <n v="1195.05"/>
    <x v="7"/>
    <x v="3"/>
  </r>
  <r>
    <n v="1589"/>
    <x v="407"/>
    <d v="2024-03-12T00:00:00"/>
    <s v="C1258"/>
    <s v="Customer 35"/>
    <x v="0"/>
    <s v="Chennai"/>
    <s v="Tamil Nadu"/>
    <x v="2"/>
    <x v="0"/>
    <s v="Monitor"/>
    <x v="576"/>
    <n v="63934.080000000002"/>
    <n v="9"/>
    <n v="0.05"/>
    <n v="9489.01"/>
    <x v="1"/>
    <x v="0"/>
  </r>
  <r>
    <n v="1590"/>
    <x v="408"/>
    <d v="2025-04-20T00:00:00"/>
    <s v="C1042"/>
    <s v="Customer 262"/>
    <x v="2"/>
    <s v="Ahmedabad"/>
    <s v="Gujarat"/>
    <x v="0"/>
    <x v="2"/>
    <s v="Notebook"/>
    <x v="577"/>
    <n v="34819.32"/>
    <n v="4"/>
    <n v="0.25"/>
    <n v="1916.31"/>
    <x v="4"/>
    <x v="0"/>
  </r>
  <r>
    <n v="1591"/>
    <x v="7"/>
    <d v="2025-05-18T00:00:00"/>
    <s v="C1229"/>
    <s v="Customer 56"/>
    <x v="0"/>
    <s v="Kolkata"/>
    <s v="West Bengal"/>
    <x v="3"/>
    <x v="2"/>
    <s v="Pen"/>
    <x v="578"/>
    <n v="6803.19"/>
    <n v="7"/>
    <n v="0.25"/>
    <n v="391.32"/>
    <x v="5"/>
    <x v="3"/>
  </r>
  <r>
    <n v="1592"/>
    <x v="116"/>
    <d v="2025-05-20T00:00:00"/>
    <s v="C1126"/>
    <s v="Customer 16"/>
    <x v="1"/>
    <s v="Lucknow"/>
    <s v="Uttar Pradesh"/>
    <x v="1"/>
    <x v="0"/>
    <s v="Phone"/>
    <x v="579"/>
    <n v="70193.87"/>
    <n v="7"/>
    <n v="0"/>
    <n v="21027.64"/>
    <x v="0"/>
    <x v="1"/>
  </r>
  <r>
    <n v="1593"/>
    <x v="171"/>
    <d v="2025-01-02T00:00:00"/>
    <s v="C1208"/>
    <s v="Customer 11"/>
    <x v="1"/>
    <s v="Hyderabad"/>
    <s v="Telangana"/>
    <x v="2"/>
    <x v="2"/>
    <s v="Paper"/>
    <x v="580"/>
    <n v="65440.12"/>
    <n v="2"/>
    <n v="0.05"/>
    <n v="8264.8799999999992"/>
    <x v="4"/>
    <x v="1"/>
  </r>
  <r>
    <n v="1594"/>
    <x v="409"/>
    <d v="2024-03-27T00:00:00"/>
    <s v="C1212"/>
    <s v="Customer 207"/>
    <x v="0"/>
    <s v="Ahmedabad"/>
    <s v="Gujarat"/>
    <x v="0"/>
    <x v="2"/>
    <s v="Storage"/>
    <x v="581"/>
    <n v="75564.429999999993"/>
    <n v="1"/>
    <n v="0.3"/>
    <n v="-317.05"/>
    <x v="7"/>
    <x v="1"/>
  </r>
  <r>
    <n v="1595"/>
    <x v="129"/>
    <d v="2024-03-21T00:00:00"/>
    <s v="C1025"/>
    <s v="Customer 147"/>
    <x v="0"/>
    <s v="Delhi"/>
    <s v="Delhi"/>
    <x v="1"/>
    <x v="2"/>
    <s v="Pen"/>
    <x v="582"/>
    <n v="24483.65"/>
    <n v="9"/>
    <n v="0"/>
    <n v="6366.26"/>
    <x v="4"/>
    <x v="3"/>
  </r>
  <r>
    <n v="1596"/>
    <x v="410"/>
    <d v="2024-07-01T00:00:00"/>
    <s v="C1249"/>
    <s v="Customer 87"/>
    <x v="0"/>
    <s v="Pune"/>
    <s v="Maharashtra"/>
    <x v="0"/>
    <x v="2"/>
    <s v="Notebook"/>
    <x v="583"/>
    <n v="19443.75"/>
    <n v="6"/>
    <n v="0.25"/>
    <n v="956.7"/>
    <x v="3"/>
    <x v="0"/>
  </r>
  <r>
    <n v="1597"/>
    <x v="411"/>
    <d v="2024-02-13T00:00:00"/>
    <s v="C1245"/>
    <s v="Customer 235"/>
    <x v="0"/>
    <s v="Bhubaneswar"/>
    <s v="Odisha"/>
    <x v="3"/>
    <x v="1"/>
    <s v="Table"/>
    <x v="584"/>
    <n v="19657.53"/>
    <n v="10"/>
    <n v="0.05"/>
    <n v="5461.34"/>
    <x v="6"/>
    <x v="3"/>
  </r>
  <r>
    <n v="1598"/>
    <x v="412"/>
    <d v="2025-10-05T00:00:00"/>
    <s v="C1211"/>
    <s v="Customer 82"/>
    <x v="0"/>
    <s v="Kolkata"/>
    <s v="West Bengal"/>
    <x v="3"/>
    <x v="2"/>
    <s v="Paper"/>
    <x v="585"/>
    <n v="3947.54"/>
    <n v="9"/>
    <n v="0.25"/>
    <n v="660.5"/>
    <x v="4"/>
    <x v="3"/>
  </r>
  <r>
    <n v="1599"/>
    <x v="413"/>
    <d v="2024-07-25T00:00:00"/>
    <s v="C1209"/>
    <s v="Customer 297"/>
    <x v="0"/>
    <s v="Ahmedabad"/>
    <s v="Gujarat"/>
    <x v="0"/>
    <x v="2"/>
    <s v="Paper"/>
    <x v="586"/>
    <n v="23804.32"/>
    <n v="5"/>
    <n v="0.1"/>
    <n v="1644.18"/>
    <x v="2"/>
    <x v="0"/>
  </r>
  <r>
    <n v="1600"/>
    <x v="414"/>
    <d v="2025-08-09T00:00:00"/>
    <s v="C1034"/>
    <s v="Customer 218"/>
    <x v="2"/>
    <s v="Kolkata"/>
    <s v="West Bengal"/>
    <x v="3"/>
    <x v="0"/>
    <s v="Mouse"/>
    <x v="587"/>
    <n v="10678.76"/>
    <n v="3"/>
    <n v="0.3"/>
    <n v="450.78"/>
    <x v="3"/>
    <x v="0"/>
  </r>
  <r>
    <n v="1601"/>
    <x v="415"/>
    <d v="2025-10-04T00:00:00"/>
    <s v="C1255"/>
    <s v="Customer 33"/>
    <x v="0"/>
    <s v="Lucknow"/>
    <s v="Uttar Pradesh"/>
    <x v="1"/>
    <x v="0"/>
    <s v="Mouse"/>
    <x v="288"/>
    <n v="29347.52"/>
    <n v="5"/>
    <n v="0.05"/>
    <n v="7568.1"/>
    <x v="1"/>
    <x v="2"/>
  </r>
  <r>
    <n v="1602"/>
    <x v="416"/>
    <d v="2024-09-23T00:00:00"/>
    <s v="C1165"/>
    <s v="Customer 133"/>
    <x v="1"/>
    <s v="Lucknow"/>
    <s v="Uttar Pradesh"/>
    <x v="1"/>
    <x v="0"/>
    <s v="Phone"/>
    <x v="588"/>
    <n v="11633.69"/>
    <n v="7"/>
    <n v="0.05"/>
    <n v="3135.72"/>
    <x v="3"/>
    <x v="3"/>
  </r>
  <r>
    <n v="1603"/>
    <x v="373"/>
    <d v="2025-02-24T00:00:00"/>
    <s v="C1296"/>
    <s v="Customer 279"/>
    <x v="1"/>
    <s v="Chennai"/>
    <s v="Tamil Nadu"/>
    <x v="2"/>
    <x v="0"/>
    <s v="Monitor"/>
    <x v="589"/>
    <n v="48823.66"/>
    <n v="8"/>
    <n v="0.25"/>
    <n v="2741.56"/>
    <x v="0"/>
    <x v="3"/>
  </r>
  <r>
    <n v="1604"/>
    <x v="417"/>
    <d v="2025-12-06T00:00:00"/>
    <s v="C1192"/>
    <s v="Customer 99"/>
    <x v="0"/>
    <s v="Lucknow"/>
    <s v="Uttar Pradesh"/>
    <x v="1"/>
    <x v="0"/>
    <s v="Laptop"/>
    <x v="590"/>
    <n v="81454.64"/>
    <n v="8"/>
    <n v="0.2"/>
    <n v="7222.74"/>
    <x v="4"/>
    <x v="1"/>
  </r>
  <r>
    <n v="1605"/>
    <x v="418"/>
    <d v="2024-09-22T00:00:00"/>
    <s v="C1282"/>
    <s v="Customer 134"/>
    <x v="1"/>
    <s v="Chennai"/>
    <s v="Tamil Nadu"/>
    <x v="2"/>
    <x v="1"/>
    <s v="Bookcase"/>
    <x v="591"/>
    <n v="12396.45"/>
    <n v="7"/>
    <n v="0.25"/>
    <n v="1287.75"/>
    <x v="1"/>
    <x v="2"/>
  </r>
  <r>
    <n v="1606"/>
    <x v="419"/>
    <d v="2025-05-13T00:00:00"/>
    <s v="C1146"/>
    <s v="Customer 132"/>
    <x v="2"/>
    <s v="Bengaluru"/>
    <s v="Karnataka"/>
    <x v="2"/>
    <x v="1"/>
    <s v="Table"/>
    <x v="592"/>
    <n v="34282.269999999997"/>
    <n v="5"/>
    <n v="0.2"/>
    <n v="3832.76"/>
    <x v="1"/>
    <x v="2"/>
  </r>
  <r>
    <n v="1607"/>
    <x v="420"/>
    <d v="2025-04-13T00:00:00"/>
    <s v="C1247"/>
    <s v="Customer 24"/>
    <x v="0"/>
    <s v="Kolkata"/>
    <s v="West Bengal"/>
    <x v="3"/>
    <x v="2"/>
    <s v="Notebook"/>
    <x v="593"/>
    <n v="71215.44"/>
    <n v="2"/>
    <n v="0.15"/>
    <n v="5792.43"/>
    <x v="4"/>
    <x v="1"/>
  </r>
  <r>
    <n v="1608"/>
    <x v="270"/>
    <d v="2024-01-06T00:00:00"/>
    <s v="C1215"/>
    <s v="Customer 146"/>
    <x v="0"/>
    <s v="Mumbai"/>
    <s v="Maharashtra"/>
    <x v="0"/>
    <x v="2"/>
    <s v="Pen"/>
    <x v="594"/>
    <n v="83263.56"/>
    <n v="5"/>
    <n v="0.05"/>
    <n v="7580.73"/>
    <x v="4"/>
    <x v="3"/>
  </r>
  <r>
    <n v="1609"/>
    <x v="166"/>
    <d v="2025-01-23T00:00:00"/>
    <s v="C1031"/>
    <s v="Customer 66"/>
    <x v="0"/>
    <s v="Hyderabad"/>
    <s v="Telangana"/>
    <x v="2"/>
    <x v="0"/>
    <s v="Laptop"/>
    <x v="595"/>
    <n v="72957.149999999994"/>
    <n v="9"/>
    <n v="0.1"/>
    <n v="3237.34"/>
    <x v="3"/>
    <x v="1"/>
  </r>
  <r>
    <n v="1610"/>
    <x v="252"/>
    <d v="2025-12-20T00:00:00"/>
    <s v="C1234"/>
    <s v="Customer 104"/>
    <x v="0"/>
    <s v="Patna"/>
    <s v="Bihar"/>
    <x v="3"/>
    <x v="1"/>
    <s v="Bookcase"/>
    <x v="596"/>
    <n v="60824.92"/>
    <n v="4"/>
    <n v="0.2"/>
    <n v="4191.5600000000004"/>
    <x v="3"/>
    <x v="2"/>
  </r>
  <r>
    <n v="1611"/>
    <x v="421"/>
    <d v="2024-10-16T00:00:00"/>
    <s v="C1263"/>
    <s v="Customer 281"/>
    <x v="1"/>
    <s v="Patna"/>
    <s v="Bihar"/>
    <x v="3"/>
    <x v="0"/>
    <s v="Mouse"/>
    <x v="597"/>
    <n v="45698.76"/>
    <n v="4"/>
    <n v="0.15"/>
    <n v="8653.18"/>
    <x v="7"/>
    <x v="2"/>
  </r>
  <r>
    <n v="1612"/>
    <x v="331"/>
    <d v="2025-07-10T00:00:00"/>
    <s v="C1009"/>
    <s v="Customer 187"/>
    <x v="2"/>
    <s v="Mumbai"/>
    <s v="Maharashtra"/>
    <x v="0"/>
    <x v="1"/>
    <s v="Table"/>
    <x v="598"/>
    <n v="62807.57"/>
    <n v="2"/>
    <n v="0.1"/>
    <n v="12975.58"/>
    <x v="6"/>
    <x v="3"/>
  </r>
  <r>
    <n v="1613"/>
    <x v="422"/>
    <d v="2025-10-25T00:00:00"/>
    <s v="C1028"/>
    <s v="Customer 234"/>
    <x v="1"/>
    <s v="Kolkata"/>
    <s v="West Bengal"/>
    <x v="3"/>
    <x v="0"/>
    <s v="Laptop"/>
    <x v="599"/>
    <n v="37806.86"/>
    <n v="6"/>
    <n v="0.1"/>
    <n v="4405.55"/>
    <x v="2"/>
    <x v="2"/>
  </r>
  <r>
    <n v="1614"/>
    <x v="238"/>
    <d v="2025-08-31T00:00:00"/>
    <s v="C1145"/>
    <s v="Customer 246"/>
    <x v="2"/>
    <s v="Jaipur"/>
    <s v="Rajasthan"/>
    <x v="1"/>
    <x v="1"/>
    <s v="Chair"/>
    <x v="600"/>
    <n v="64764.77"/>
    <n v="6"/>
    <n v="0.2"/>
    <n v="620.6"/>
    <x v="3"/>
    <x v="1"/>
  </r>
  <r>
    <n v="1615"/>
    <x v="88"/>
    <d v="2025-09-06T00:00:00"/>
    <s v="C1287"/>
    <s v="Customer 181"/>
    <x v="2"/>
    <s v="Ahmedabad"/>
    <s v="Gujarat"/>
    <x v="0"/>
    <x v="1"/>
    <s v="Chair"/>
    <x v="601"/>
    <n v="89841.37"/>
    <n v="3"/>
    <n v="0.15"/>
    <n v="1942.97"/>
    <x v="4"/>
    <x v="3"/>
  </r>
  <r>
    <n v="1616"/>
    <x v="344"/>
    <d v="2024-09-28T00:00:00"/>
    <s v="C1187"/>
    <s v="Customer 113"/>
    <x v="1"/>
    <s v="Pune"/>
    <s v="Maharashtra"/>
    <x v="0"/>
    <x v="2"/>
    <s v="Storage"/>
    <x v="602"/>
    <n v="86349.95"/>
    <n v="5"/>
    <n v="0.15"/>
    <n v="10134.86"/>
    <x v="4"/>
    <x v="1"/>
  </r>
  <r>
    <n v="1617"/>
    <x v="138"/>
    <d v="2024-05-11T00:00:00"/>
    <s v="C1185"/>
    <s v="Customer 134"/>
    <x v="2"/>
    <s v="Jaipur"/>
    <s v="Rajasthan"/>
    <x v="1"/>
    <x v="0"/>
    <s v="Keyboard"/>
    <x v="603"/>
    <n v="73146.25"/>
    <n v="9"/>
    <n v="0.2"/>
    <n v="12660.79"/>
    <x v="5"/>
    <x v="0"/>
  </r>
  <r>
    <n v="1618"/>
    <x v="423"/>
    <d v="2025-11-30T00:00:00"/>
    <s v="C1269"/>
    <s v="Customer 59"/>
    <x v="0"/>
    <s v="Kolkata"/>
    <s v="West Bengal"/>
    <x v="3"/>
    <x v="1"/>
    <s v="Table"/>
    <x v="604"/>
    <n v="4511.54"/>
    <n v="10"/>
    <n v="0.1"/>
    <n v="521.80999999999995"/>
    <x v="6"/>
    <x v="0"/>
  </r>
  <r>
    <n v="1619"/>
    <x v="151"/>
    <d v="2024-05-19T00:00:00"/>
    <s v="C1158"/>
    <s v="Customer 201"/>
    <x v="1"/>
    <s v="Hyderabad"/>
    <s v="Telangana"/>
    <x v="2"/>
    <x v="0"/>
    <s v="Mouse"/>
    <x v="605"/>
    <n v="66876.81"/>
    <n v="1"/>
    <n v="0"/>
    <n v="10290.84"/>
    <x v="7"/>
    <x v="3"/>
  </r>
  <r>
    <n v="1620"/>
    <x v="98"/>
    <d v="2024-11-22T00:00:00"/>
    <s v="C1239"/>
    <s v="Customer 178"/>
    <x v="0"/>
    <s v="Bengaluru"/>
    <s v="Karnataka"/>
    <x v="2"/>
    <x v="2"/>
    <s v="Pen"/>
    <x v="606"/>
    <n v="76110.77"/>
    <n v="1"/>
    <n v="0.3"/>
    <n v="-1434.45"/>
    <x v="7"/>
    <x v="1"/>
  </r>
  <r>
    <n v="1621"/>
    <x v="424"/>
    <d v="2025-12-29T00:00:00"/>
    <s v="C1216"/>
    <s v="Customer 29"/>
    <x v="1"/>
    <s v="Bhubaneswar"/>
    <s v="Odisha"/>
    <x v="3"/>
    <x v="1"/>
    <s v="Table"/>
    <x v="607"/>
    <n v="25026.86"/>
    <n v="7"/>
    <n v="0.15"/>
    <n v="3000.58"/>
    <x v="3"/>
    <x v="1"/>
  </r>
  <r>
    <n v="1622"/>
    <x v="425"/>
    <d v="2025-02-01T00:00:00"/>
    <s v="C1267"/>
    <s v="Customer 254"/>
    <x v="2"/>
    <s v="Bhubaneswar"/>
    <s v="Odisha"/>
    <x v="3"/>
    <x v="1"/>
    <s v="Chair"/>
    <x v="608"/>
    <n v="14796.13"/>
    <n v="5"/>
    <n v="0.1"/>
    <n v="2048.42"/>
    <x v="5"/>
    <x v="3"/>
  </r>
  <r>
    <n v="1623"/>
    <x v="49"/>
    <d v="2025-01-09T00:00:00"/>
    <s v="C1152"/>
    <s v="Customer 78"/>
    <x v="1"/>
    <s v="Patna"/>
    <s v="Bihar"/>
    <x v="3"/>
    <x v="0"/>
    <s v="Mouse"/>
    <x v="609"/>
    <n v="70927.320000000007"/>
    <n v="7"/>
    <n v="0"/>
    <n v="12209.91"/>
    <x v="6"/>
    <x v="0"/>
  </r>
  <r>
    <n v="1624"/>
    <x v="402"/>
    <d v="2024-11-05T00:00:00"/>
    <s v="C1170"/>
    <s v="Customer 3"/>
    <x v="2"/>
    <s v="Mumbai"/>
    <s v="Maharashtra"/>
    <x v="0"/>
    <x v="2"/>
    <s v="Binder"/>
    <x v="610"/>
    <n v="877.93"/>
    <n v="9"/>
    <n v="0.05"/>
    <n v="98.9"/>
    <x v="5"/>
    <x v="3"/>
  </r>
  <r>
    <n v="1625"/>
    <x v="34"/>
    <d v="2024-04-15T00:00:00"/>
    <s v="C1027"/>
    <s v="Customer 7"/>
    <x v="0"/>
    <s v="Lucknow"/>
    <s v="Uttar Pradesh"/>
    <x v="1"/>
    <x v="1"/>
    <s v="Chair"/>
    <x v="611"/>
    <n v="87741.77"/>
    <n v="10"/>
    <n v="0.25"/>
    <n v="5277.4"/>
    <x v="5"/>
    <x v="2"/>
  </r>
  <r>
    <n v="1626"/>
    <x v="426"/>
    <d v="2025-10-26T00:00:00"/>
    <s v="C1263"/>
    <s v="Customer 33"/>
    <x v="2"/>
    <s v="Pune"/>
    <s v="Maharashtra"/>
    <x v="0"/>
    <x v="2"/>
    <s v="Pen"/>
    <x v="612"/>
    <n v="69194.100000000006"/>
    <n v="5"/>
    <n v="0"/>
    <n v="13060.2"/>
    <x v="0"/>
    <x v="3"/>
  </r>
  <r>
    <n v="1627"/>
    <x v="427"/>
    <d v="2024-01-02T00:00:00"/>
    <s v="C1264"/>
    <s v="Customer 167"/>
    <x v="0"/>
    <s v="Delhi"/>
    <s v="Delhi"/>
    <x v="1"/>
    <x v="1"/>
    <s v="Chair"/>
    <x v="613"/>
    <n v="1125.21"/>
    <n v="10"/>
    <n v="0.15"/>
    <n v="220.96"/>
    <x v="6"/>
    <x v="3"/>
  </r>
  <r>
    <n v="1628"/>
    <x v="330"/>
    <d v="2024-10-11T00:00:00"/>
    <s v="C1078"/>
    <s v="Customer 143"/>
    <x v="1"/>
    <s v="Delhi"/>
    <s v="Delhi"/>
    <x v="1"/>
    <x v="2"/>
    <s v="Binder"/>
    <x v="614"/>
    <n v="27780.19"/>
    <n v="2"/>
    <n v="0.3"/>
    <n v="4793.88"/>
    <x v="7"/>
    <x v="2"/>
  </r>
  <r>
    <n v="1629"/>
    <x v="428"/>
    <d v="2024-12-27T00:00:00"/>
    <s v="C1182"/>
    <s v="Customer 107"/>
    <x v="0"/>
    <s v="Kolkata"/>
    <s v="West Bengal"/>
    <x v="3"/>
    <x v="1"/>
    <s v="Table"/>
    <x v="615"/>
    <n v="76283.06"/>
    <n v="1"/>
    <n v="0.15"/>
    <n v="7869.56"/>
    <x v="0"/>
    <x v="0"/>
  </r>
  <r>
    <n v="1630"/>
    <x v="429"/>
    <d v="2024-12-06T00:00:00"/>
    <s v="C1237"/>
    <s v="Customer 235"/>
    <x v="1"/>
    <s v="Patna"/>
    <s v="Bihar"/>
    <x v="3"/>
    <x v="0"/>
    <s v="Phone"/>
    <x v="616"/>
    <n v="61995.3"/>
    <n v="10"/>
    <n v="0.3"/>
    <n v="10363.959999999999"/>
    <x v="5"/>
    <x v="0"/>
  </r>
  <r>
    <n v="1631"/>
    <x v="430"/>
    <d v="2025-05-06T00:00:00"/>
    <s v="C1223"/>
    <s v="Customer 270"/>
    <x v="0"/>
    <s v="Pune"/>
    <s v="Maharashtra"/>
    <x v="0"/>
    <x v="1"/>
    <s v="Table"/>
    <x v="617"/>
    <n v="70459.53"/>
    <n v="8"/>
    <n v="0.3"/>
    <n v="-2549.94"/>
    <x v="6"/>
    <x v="2"/>
  </r>
  <r>
    <n v="1632"/>
    <x v="431"/>
    <d v="2025-01-16T00:00:00"/>
    <s v="C1148"/>
    <s v="Customer 249"/>
    <x v="2"/>
    <s v="Mumbai"/>
    <s v="Maharashtra"/>
    <x v="0"/>
    <x v="0"/>
    <s v="Laptop"/>
    <x v="618"/>
    <n v="15142.26"/>
    <n v="6"/>
    <n v="0.3"/>
    <n v="-200.91"/>
    <x v="5"/>
    <x v="1"/>
  </r>
  <r>
    <n v="1633"/>
    <x v="328"/>
    <d v="2024-11-14T00:00:00"/>
    <s v="C1073"/>
    <s v="Customer 221"/>
    <x v="2"/>
    <s v="Hyderabad"/>
    <s v="Telangana"/>
    <x v="2"/>
    <x v="1"/>
    <s v="Chair"/>
    <x v="619"/>
    <n v="88374.59"/>
    <n v="3"/>
    <n v="0.1"/>
    <n v="22342.11"/>
    <x v="0"/>
    <x v="3"/>
  </r>
  <r>
    <n v="1634"/>
    <x v="377"/>
    <d v="2025-08-31T00:00:00"/>
    <s v="C1015"/>
    <s v="Customer 136"/>
    <x v="1"/>
    <s v="Jaipur"/>
    <s v="Rajasthan"/>
    <x v="1"/>
    <x v="0"/>
    <s v="Phone"/>
    <x v="620"/>
    <n v="67322.48"/>
    <n v="4"/>
    <n v="0"/>
    <n v="5434"/>
    <x v="1"/>
    <x v="2"/>
  </r>
  <r>
    <n v="1635"/>
    <x v="432"/>
    <d v="2025-07-13T00:00:00"/>
    <s v="C1180"/>
    <s v="Customer 110"/>
    <x v="0"/>
    <s v="Ahmedabad"/>
    <s v="Gujarat"/>
    <x v="0"/>
    <x v="0"/>
    <s v="Monitor"/>
    <x v="621"/>
    <n v="26940.799999999999"/>
    <n v="9"/>
    <n v="0.1"/>
    <n v="6331.29"/>
    <x v="2"/>
    <x v="3"/>
  </r>
  <r>
    <n v="1636"/>
    <x v="433"/>
    <d v="2025-04-10T00:00:00"/>
    <s v="C1115"/>
    <s v="Customer 153"/>
    <x v="0"/>
    <s v="Delhi"/>
    <s v="Delhi"/>
    <x v="1"/>
    <x v="2"/>
    <s v="Binder"/>
    <x v="622"/>
    <n v="41645.79"/>
    <n v="6"/>
    <n v="0.15"/>
    <n v="3112.79"/>
    <x v="5"/>
    <x v="3"/>
  </r>
  <r>
    <n v="1637"/>
    <x v="28"/>
    <d v="2025-12-25T00:00:00"/>
    <s v="C1258"/>
    <s v="Customer 49"/>
    <x v="2"/>
    <s v="Lucknow"/>
    <s v="Uttar Pradesh"/>
    <x v="1"/>
    <x v="0"/>
    <s v="Monitor"/>
    <x v="623"/>
    <n v="57043.34"/>
    <n v="9"/>
    <n v="0.2"/>
    <n v="10321.61"/>
    <x v="1"/>
    <x v="3"/>
  </r>
  <r>
    <n v="1638"/>
    <x v="434"/>
    <d v="2024-09-17T00:00:00"/>
    <s v="C1092"/>
    <s v="Customer 97"/>
    <x v="1"/>
    <s v="Patna"/>
    <s v="Bihar"/>
    <x v="3"/>
    <x v="1"/>
    <s v="Table"/>
    <x v="462"/>
    <n v="37695.72"/>
    <n v="8"/>
    <n v="0.25"/>
    <n v="6440.19"/>
    <x v="7"/>
    <x v="2"/>
  </r>
  <r>
    <n v="1639"/>
    <x v="435"/>
    <d v="2025-06-04T00:00:00"/>
    <s v="C1246"/>
    <s v="Customer 26"/>
    <x v="1"/>
    <s v="Jaipur"/>
    <s v="Rajasthan"/>
    <x v="1"/>
    <x v="0"/>
    <s v="Mouse"/>
    <x v="624"/>
    <n v="42011.7"/>
    <n v="10"/>
    <n v="0.1"/>
    <n v="9131.6299999999992"/>
    <x v="3"/>
    <x v="2"/>
  </r>
  <r>
    <n v="1640"/>
    <x v="436"/>
    <d v="2025-01-10T00:00:00"/>
    <s v="C1098"/>
    <s v="Customer 148"/>
    <x v="0"/>
    <s v="Mumbai"/>
    <s v="Maharashtra"/>
    <x v="0"/>
    <x v="0"/>
    <s v="Laptop"/>
    <x v="625"/>
    <n v="86706.46"/>
    <n v="3"/>
    <n v="0.25"/>
    <n v="8597.33"/>
    <x v="0"/>
    <x v="3"/>
  </r>
  <r>
    <n v="1641"/>
    <x v="356"/>
    <d v="2025-08-19T00:00:00"/>
    <s v="C1238"/>
    <s v="Customer 207"/>
    <x v="2"/>
    <s v="Hyderabad"/>
    <s v="Telangana"/>
    <x v="2"/>
    <x v="0"/>
    <s v="Keyboard"/>
    <x v="626"/>
    <n v="64145.120000000003"/>
    <n v="5"/>
    <n v="0.2"/>
    <n v="9705.3700000000008"/>
    <x v="6"/>
    <x v="2"/>
  </r>
  <r>
    <n v="1642"/>
    <x v="296"/>
    <d v="2024-09-15T00:00:00"/>
    <s v="C1212"/>
    <s v="Customer 61"/>
    <x v="0"/>
    <s v="Jaipur"/>
    <s v="Rajasthan"/>
    <x v="1"/>
    <x v="0"/>
    <s v="Keyboard"/>
    <x v="627"/>
    <n v="58742.23"/>
    <n v="10"/>
    <n v="0.3"/>
    <n v="6971.55"/>
    <x v="3"/>
    <x v="2"/>
  </r>
  <r>
    <n v="1643"/>
    <x v="437"/>
    <d v="2024-01-15T00:00:00"/>
    <s v="C1161"/>
    <s v="Customer 135"/>
    <x v="0"/>
    <s v="Bengaluru"/>
    <s v="Karnataka"/>
    <x v="2"/>
    <x v="0"/>
    <s v="Phone"/>
    <x v="628"/>
    <n v="26856.01"/>
    <n v="1"/>
    <n v="0.25"/>
    <n v="2521.0300000000002"/>
    <x v="1"/>
    <x v="0"/>
  </r>
  <r>
    <n v="1644"/>
    <x v="255"/>
    <d v="2024-09-14T00:00:00"/>
    <s v="C1215"/>
    <s v="Customer 218"/>
    <x v="1"/>
    <s v="Lucknow"/>
    <s v="Uttar Pradesh"/>
    <x v="1"/>
    <x v="2"/>
    <s v="Storage"/>
    <x v="629"/>
    <n v="34687.14"/>
    <n v="6"/>
    <n v="0.25"/>
    <n v="2403.62"/>
    <x v="2"/>
    <x v="1"/>
  </r>
  <r>
    <n v="1645"/>
    <x v="438"/>
    <d v="2024-03-31T00:00:00"/>
    <s v="C1029"/>
    <s v="Customer 211"/>
    <x v="0"/>
    <s v="Kolkata"/>
    <s v="West Bengal"/>
    <x v="3"/>
    <x v="2"/>
    <s v="Storage"/>
    <x v="630"/>
    <n v="89430.24"/>
    <n v="1"/>
    <n v="0.2"/>
    <n v="9227.75"/>
    <x v="1"/>
    <x v="1"/>
  </r>
  <r>
    <n v="1646"/>
    <x v="439"/>
    <d v="2025-01-05T00:00:00"/>
    <s v="C1180"/>
    <s v="Customer 163"/>
    <x v="0"/>
    <s v="Bhubaneswar"/>
    <s v="Odisha"/>
    <x v="3"/>
    <x v="2"/>
    <s v="Storage"/>
    <x v="104"/>
    <n v="25934.22"/>
    <n v="3"/>
    <n v="0"/>
    <n v="6776.84"/>
    <x v="6"/>
    <x v="3"/>
  </r>
  <r>
    <n v="1647"/>
    <x v="13"/>
    <d v="2025-12-04T00:00:00"/>
    <s v="C1076"/>
    <s v="Customer 113"/>
    <x v="0"/>
    <s v="Ahmedabad"/>
    <s v="Gujarat"/>
    <x v="0"/>
    <x v="1"/>
    <s v="Table"/>
    <x v="631"/>
    <n v="40944.589999999997"/>
    <n v="5"/>
    <n v="0.2"/>
    <n v="3164.48"/>
    <x v="4"/>
    <x v="0"/>
  </r>
  <r>
    <n v="1648"/>
    <x v="440"/>
    <d v="2024-07-14T00:00:00"/>
    <s v="C1297"/>
    <s v="Customer 152"/>
    <x v="1"/>
    <s v="Chennai"/>
    <s v="Tamil Nadu"/>
    <x v="2"/>
    <x v="1"/>
    <s v="Sofa"/>
    <x v="632"/>
    <n v="37851.31"/>
    <n v="6"/>
    <n v="0.3"/>
    <n v="5642.51"/>
    <x v="0"/>
    <x v="0"/>
  </r>
  <r>
    <n v="1649"/>
    <x v="395"/>
    <d v="2025-10-10T00:00:00"/>
    <s v="C1185"/>
    <s v="Customer 42"/>
    <x v="2"/>
    <s v="Delhi"/>
    <s v="Delhi"/>
    <x v="1"/>
    <x v="1"/>
    <s v="Chair"/>
    <x v="633"/>
    <n v="45133.55"/>
    <n v="6"/>
    <n v="0.05"/>
    <n v="9483.2000000000007"/>
    <x v="4"/>
    <x v="1"/>
  </r>
  <r>
    <n v="1650"/>
    <x v="441"/>
    <d v="2025-03-11T00:00:00"/>
    <s v="C1026"/>
    <s v="Customer 230"/>
    <x v="1"/>
    <s v="Lucknow"/>
    <s v="Uttar Pradesh"/>
    <x v="1"/>
    <x v="0"/>
    <s v="Keyboard"/>
    <x v="634"/>
    <n v="81831.77"/>
    <n v="3"/>
    <n v="0.15"/>
    <n v="2817.44"/>
    <x v="5"/>
    <x v="3"/>
  </r>
  <r>
    <n v="1651"/>
    <x v="88"/>
    <d v="2025-09-08T00:00:00"/>
    <s v="C1156"/>
    <s v="Customer 272"/>
    <x v="1"/>
    <s v="Jaipur"/>
    <s v="Rajasthan"/>
    <x v="1"/>
    <x v="1"/>
    <s v="Bookcase"/>
    <x v="635"/>
    <n v="37929.870000000003"/>
    <n v="4"/>
    <n v="0.05"/>
    <n v="6967.84"/>
    <x v="4"/>
    <x v="2"/>
  </r>
  <r>
    <n v="1652"/>
    <x v="117"/>
    <d v="2025-05-28T00:00:00"/>
    <s v="C1163"/>
    <s v="Customer 131"/>
    <x v="1"/>
    <s v="Hyderabad"/>
    <s v="Telangana"/>
    <x v="2"/>
    <x v="0"/>
    <s v="Mouse"/>
    <x v="636"/>
    <n v="54860.92"/>
    <n v="2"/>
    <n v="0.15"/>
    <n v="6360.82"/>
    <x v="6"/>
    <x v="3"/>
  </r>
  <r>
    <n v="1653"/>
    <x v="402"/>
    <d v="2024-11-08T00:00:00"/>
    <s v="C1094"/>
    <s v="Customer 190"/>
    <x v="2"/>
    <s v="Chennai"/>
    <s v="Tamil Nadu"/>
    <x v="2"/>
    <x v="0"/>
    <s v="Mouse"/>
    <x v="637"/>
    <n v="6676.02"/>
    <n v="1"/>
    <n v="0.25"/>
    <n v="709.03"/>
    <x v="1"/>
    <x v="1"/>
  </r>
  <r>
    <n v="1654"/>
    <x v="151"/>
    <d v="2024-05-19T00:00:00"/>
    <s v="C1053"/>
    <s v="Customer 81"/>
    <x v="2"/>
    <s v="Bhubaneswar"/>
    <s v="Odisha"/>
    <x v="3"/>
    <x v="1"/>
    <s v="Chair"/>
    <x v="638"/>
    <n v="38613.47"/>
    <n v="6"/>
    <n v="0.05"/>
    <n v="4497.68"/>
    <x v="2"/>
    <x v="3"/>
  </r>
  <r>
    <n v="1655"/>
    <x v="216"/>
    <d v="2025-06-30T00:00:00"/>
    <s v="C1219"/>
    <s v="Customer 10"/>
    <x v="2"/>
    <s v="Delhi"/>
    <s v="Delhi"/>
    <x v="1"/>
    <x v="1"/>
    <s v="Chair"/>
    <x v="639"/>
    <n v="65324.47"/>
    <n v="8"/>
    <n v="0.1"/>
    <n v="8670.44"/>
    <x v="1"/>
    <x v="0"/>
  </r>
  <r>
    <n v="1656"/>
    <x v="442"/>
    <d v="2024-02-01T00:00:00"/>
    <s v="C1086"/>
    <s v="Customer 133"/>
    <x v="1"/>
    <s v="Hyderabad"/>
    <s v="Telangana"/>
    <x v="2"/>
    <x v="1"/>
    <s v="Table"/>
    <x v="640"/>
    <n v="33397.81"/>
    <n v="4"/>
    <n v="0.3"/>
    <n v="4817.78"/>
    <x v="7"/>
    <x v="1"/>
  </r>
  <r>
    <n v="1657"/>
    <x v="443"/>
    <d v="2025-03-17T00:00:00"/>
    <s v="C1216"/>
    <s v="Customer 177"/>
    <x v="0"/>
    <s v="Kolkata"/>
    <s v="West Bengal"/>
    <x v="3"/>
    <x v="1"/>
    <s v="Chair"/>
    <x v="641"/>
    <n v="84252.3"/>
    <n v="4"/>
    <n v="0.05"/>
    <n v="17705.27"/>
    <x v="0"/>
    <x v="2"/>
  </r>
  <r>
    <n v="1658"/>
    <x v="171"/>
    <d v="2025-01-03T00:00:00"/>
    <s v="C1076"/>
    <s v="Customer 19"/>
    <x v="2"/>
    <s v="Mumbai"/>
    <s v="Maharashtra"/>
    <x v="0"/>
    <x v="2"/>
    <s v="Notebook"/>
    <x v="642"/>
    <n v="34262.21"/>
    <n v="2"/>
    <n v="0.3"/>
    <n v="-1242.6500000000001"/>
    <x v="6"/>
    <x v="2"/>
  </r>
  <r>
    <n v="1659"/>
    <x v="37"/>
    <d v="2024-01-24T00:00:00"/>
    <s v="C1006"/>
    <s v="Customer 149"/>
    <x v="0"/>
    <s v="Chennai"/>
    <s v="Tamil Nadu"/>
    <x v="2"/>
    <x v="0"/>
    <s v="Monitor"/>
    <x v="643"/>
    <n v="57514.82"/>
    <n v="1"/>
    <n v="0.2"/>
    <n v="9612.93"/>
    <x v="0"/>
    <x v="1"/>
  </r>
  <r>
    <n v="1660"/>
    <x v="444"/>
    <d v="2024-06-19T00:00:00"/>
    <s v="C1078"/>
    <s v="Customer 10"/>
    <x v="0"/>
    <s v="Delhi"/>
    <s v="Delhi"/>
    <x v="1"/>
    <x v="0"/>
    <s v="Laptop"/>
    <x v="644"/>
    <n v="50029.47"/>
    <n v="6"/>
    <n v="0.2"/>
    <n v="5326.49"/>
    <x v="0"/>
    <x v="3"/>
  </r>
  <r>
    <n v="1661"/>
    <x v="346"/>
    <d v="2024-01-16T00:00:00"/>
    <s v="C1014"/>
    <s v="Customer 164"/>
    <x v="0"/>
    <s v="Bengaluru"/>
    <s v="Karnataka"/>
    <x v="2"/>
    <x v="0"/>
    <s v="Keyboard"/>
    <x v="645"/>
    <n v="12285.48"/>
    <n v="2"/>
    <n v="0.3"/>
    <n v="1963.38"/>
    <x v="1"/>
    <x v="0"/>
  </r>
  <r>
    <n v="1662"/>
    <x v="189"/>
    <d v="2024-04-02T00:00:00"/>
    <s v="C1135"/>
    <s v="Customer 7"/>
    <x v="2"/>
    <s v="Bengaluru"/>
    <s v="Karnataka"/>
    <x v="2"/>
    <x v="2"/>
    <s v="Paper"/>
    <x v="646"/>
    <n v="16497.919999999998"/>
    <n v="10"/>
    <n v="0.3"/>
    <n v="2489.1"/>
    <x v="2"/>
    <x v="3"/>
  </r>
  <r>
    <n v="1663"/>
    <x v="252"/>
    <d v="2025-12-22T00:00:00"/>
    <s v="C1133"/>
    <s v="Customer 89"/>
    <x v="2"/>
    <s v="Pune"/>
    <s v="Maharashtra"/>
    <x v="0"/>
    <x v="0"/>
    <s v="Laptop"/>
    <x v="647"/>
    <n v="82761.62"/>
    <n v="7"/>
    <n v="0.1"/>
    <n v="12331.01"/>
    <x v="7"/>
    <x v="3"/>
  </r>
  <r>
    <n v="1664"/>
    <x v="445"/>
    <d v="2025-08-24T00:00:00"/>
    <s v="C1147"/>
    <s v="Customer 273"/>
    <x v="1"/>
    <s v="Bhubaneswar"/>
    <s v="Odisha"/>
    <x v="3"/>
    <x v="1"/>
    <s v="Bookcase"/>
    <x v="648"/>
    <n v="52411.39"/>
    <n v="3"/>
    <n v="0"/>
    <n v="6166.31"/>
    <x v="6"/>
    <x v="2"/>
  </r>
  <r>
    <n v="1665"/>
    <x v="446"/>
    <d v="2025-01-03T00:00:00"/>
    <s v="C1089"/>
    <s v="Customer 28"/>
    <x v="0"/>
    <s v="Kolkata"/>
    <s v="West Bengal"/>
    <x v="3"/>
    <x v="0"/>
    <s v="Keyboard"/>
    <x v="649"/>
    <n v="68183.81"/>
    <n v="9"/>
    <n v="0.2"/>
    <n v="9902.7800000000007"/>
    <x v="4"/>
    <x v="2"/>
  </r>
  <r>
    <n v="1666"/>
    <x v="447"/>
    <d v="2025-03-26T00:00:00"/>
    <s v="C1237"/>
    <s v="Customer 22"/>
    <x v="1"/>
    <s v="Ahmedabad"/>
    <s v="Gujarat"/>
    <x v="0"/>
    <x v="0"/>
    <s v="Monitor"/>
    <x v="650"/>
    <n v="81042.570000000007"/>
    <n v="3"/>
    <n v="0.05"/>
    <n v="17333.57"/>
    <x v="1"/>
    <x v="3"/>
  </r>
  <r>
    <n v="1667"/>
    <x v="165"/>
    <d v="2024-09-30T00:00:00"/>
    <s v="C1196"/>
    <s v="Customer 206"/>
    <x v="1"/>
    <s v="Chennai"/>
    <s v="Tamil Nadu"/>
    <x v="2"/>
    <x v="2"/>
    <s v="Pen"/>
    <x v="651"/>
    <n v="71273.259999999995"/>
    <n v="4"/>
    <n v="0.05"/>
    <n v="6931.59"/>
    <x v="5"/>
    <x v="1"/>
  </r>
  <r>
    <n v="1668"/>
    <x v="448"/>
    <d v="2025-12-18T00:00:00"/>
    <s v="C1060"/>
    <s v="Customer 258"/>
    <x v="0"/>
    <s v="Hyderabad"/>
    <s v="Telangana"/>
    <x v="2"/>
    <x v="2"/>
    <s v="Notebook"/>
    <x v="652"/>
    <n v="64156.57"/>
    <n v="9"/>
    <n v="0.15"/>
    <n v="9392.8700000000008"/>
    <x v="6"/>
    <x v="0"/>
  </r>
  <r>
    <n v="1669"/>
    <x v="0"/>
    <d v="2025-03-03T00:00:00"/>
    <s v="C1005"/>
    <s v="Customer 33"/>
    <x v="0"/>
    <s v="Chennai"/>
    <s v="Tamil Nadu"/>
    <x v="2"/>
    <x v="2"/>
    <s v="Paper"/>
    <x v="653"/>
    <n v="15237.28"/>
    <n v="4"/>
    <n v="0.25"/>
    <n v="256.27999999999997"/>
    <x v="4"/>
    <x v="0"/>
  </r>
  <r>
    <n v="1670"/>
    <x v="449"/>
    <d v="2024-10-26T00:00:00"/>
    <s v="C1160"/>
    <s v="Customer 171"/>
    <x v="1"/>
    <s v="Ahmedabad"/>
    <s v="Gujarat"/>
    <x v="0"/>
    <x v="2"/>
    <s v="Binder"/>
    <x v="654"/>
    <n v="52498"/>
    <n v="10"/>
    <n v="0.2"/>
    <n v="696.82"/>
    <x v="6"/>
    <x v="2"/>
  </r>
  <r>
    <n v="1671"/>
    <x v="20"/>
    <d v="2024-11-05T00:00:00"/>
    <s v="C1063"/>
    <s v="Customer 90"/>
    <x v="1"/>
    <s v="Delhi"/>
    <s v="Delhi"/>
    <x v="1"/>
    <x v="2"/>
    <s v="Paper"/>
    <x v="655"/>
    <n v="53128.29"/>
    <n v="7"/>
    <n v="0.25"/>
    <n v="4215.22"/>
    <x v="4"/>
    <x v="0"/>
  </r>
  <r>
    <n v="1672"/>
    <x v="450"/>
    <d v="2024-12-26T00:00:00"/>
    <s v="C1185"/>
    <s v="Customer 257"/>
    <x v="2"/>
    <s v="Bhubaneswar"/>
    <s v="Odisha"/>
    <x v="3"/>
    <x v="2"/>
    <s v="Paper"/>
    <x v="656"/>
    <n v="71135.990000000005"/>
    <n v="9"/>
    <n v="0.15"/>
    <n v="9923.31"/>
    <x v="2"/>
    <x v="3"/>
  </r>
  <r>
    <n v="1673"/>
    <x v="283"/>
    <d v="2025-01-08T00:00:00"/>
    <s v="C1252"/>
    <s v="Customer 158"/>
    <x v="2"/>
    <s v="Bhubaneswar"/>
    <s v="Odisha"/>
    <x v="3"/>
    <x v="1"/>
    <s v="Sofa"/>
    <x v="657"/>
    <n v="83784.210000000006"/>
    <n v="6"/>
    <n v="0.25"/>
    <n v="10204.74"/>
    <x v="0"/>
    <x v="2"/>
  </r>
  <r>
    <n v="1674"/>
    <x v="451"/>
    <d v="2025-10-23T00:00:00"/>
    <s v="C1268"/>
    <s v="Customer 42"/>
    <x v="1"/>
    <s v="Pune"/>
    <s v="Maharashtra"/>
    <x v="0"/>
    <x v="0"/>
    <s v="Monitor"/>
    <x v="658"/>
    <n v="31569.919999999998"/>
    <n v="8"/>
    <n v="0.05"/>
    <n v="4273.6499999999996"/>
    <x v="2"/>
    <x v="1"/>
  </r>
  <r>
    <n v="1675"/>
    <x v="210"/>
    <d v="2025-06-27T00:00:00"/>
    <s v="C1237"/>
    <s v="Customer 240"/>
    <x v="1"/>
    <s v="Lucknow"/>
    <s v="Uttar Pradesh"/>
    <x v="1"/>
    <x v="1"/>
    <s v="Table"/>
    <x v="659"/>
    <n v="77353.45"/>
    <n v="7"/>
    <n v="0.1"/>
    <n v="10435.74"/>
    <x v="3"/>
    <x v="1"/>
  </r>
  <r>
    <n v="1676"/>
    <x v="202"/>
    <d v="2024-02-19T00:00:00"/>
    <s v="C1063"/>
    <s v="Customer 45"/>
    <x v="0"/>
    <s v="Kolkata"/>
    <s v="West Bengal"/>
    <x v="3"/>
    <x v="2"/>
    <s v="Paper"/>
    <x v="660"/>
    <n v="30964.47"/>
    <n v="6"/>
    <n v="0.05"/>
    <n v="5367.58"/>
    <x v="7"/>
    <x v="3"/>
  </r>
  <r>
    <n v="1677"/>
    <x v="141"/>
    <d v="2024-08-25T00:00:00"/>
    <s v="C1046"/>
    <s v="Customer 294"/>
    <x v="1"/>
    <s v="Lucknow"/>
    <s v="Uttar Pradesh"/>
    <x v="1"/>
    <x v="1"/>
    <s v="Sofa"/>
    <x v="661"/>
    <n v="77105.05"/>
    <n v="4"/>
    <n v="0.15"/>
    <n v="6187.92"/>
    <x v="2"/>
    <x v="0"/>
  </r>
  <r>
    <n v="1678"/>
    <x v="452"/>
    <d v="2025-11-08T00:00:00"/>
    <s v="C1222"/>
    <s v="Customer 148"/>
    <x v="2"/>
    <s v="Ahmedabad"/>
    <s v="Gujarat"/>
    <x v="0"/>
    <x v="2"/>
    <s v="Notebook"/>
    <x v="662"/>
    <n v="69338.52"/>
    <n v="9"/>
    <n v="0.1"/>
    <n v="10835.19"/>
    <x v="5"/>
    <x v="1"/>
  </r>
  <r>
    <n v="1679"/>
    <x v="194"/>
    <d v="2024-04-11T00:00:00"/>
    <s v="C1046"/>
    <s v="Customer 299"/>
    <x v="1"/>
    <s v="Mumbai"/>
    <s v="Maharashtra"/>
    <x v="0"/>
    <x v="0"/>
    <s v="Mouse"/>
    <x v="663"/>
    <n v="17347.52"/>
    <n v="4"/>
    <n v="0.05"/>
    <n v="1176.3399999999999"/>
    <x v="0"/>
    <x v="2"/>
  </r>
  <r>
    <n v="1680"/>
    <x v="453"/>
    <d v="2024-04-08T00:00:00"/>
    <s v="C1127"/>
    <s v="Customer 221"/>
    <x v="2"/>
    <s v="Bengaluru"/>
    <s v="Karnataka"/>
    <x v="2"/>
    <x v="2"/>
    <s v="Binder"/>
    <x v="664"/>
    <n v="89218.33"/>
    <n v="9"/>
    <n v="0.2"/>
    <n v="15283.17"/>
    <x v="7"/>
    <x v="2"/>
  </r>
  <r>
    <n v="1681"/>
    <x v="165"/>
    <d v="2024-09-30T00:00:00"/>
    <s v="C1179"/>
    <s v="Customer 181"/>
    <x v="0"/>
    <s v="Patna"/>
    <s v="Bihar"/>
    <x v="3"/>
    <x v="1"/>
    <s v="Bookcase"/>
    <x v="665"/>
    <n v="58915.32"/>
    <n v="7"/>
    <n v="0.25"/>
    <n v="4308.97"/>
    <x v="2"/>
    <x v="3"/>
  </r>
  <r>
    <n v="1682"/>
    <x v="58"/>
    <d v="2024-08-17T00:00:00"/>
    <s v="C1278"/>
    <s v="Customer 176"/>
    <x v="1"/>
    <s v="Hyderabad"/>
    <s v="Telangana"/>
    <x v="2"/>
    <x v="0"/>
    <s v="Monitor"/>
    <x v="666"/>
    <n v="53880.38"/>
    <n v="1"/>
    <n v="0.3"/>
    <n v="6829.81"/>
    <x v="6"/>
    <x v="0"/>
  </r>
  <r>
    <n v="1683"/>
    <x v="454"/>
    <d v="2024-12-13T00:00:00"/>
    <s v="C1288"/>
    <s v="Customer 183"/>
    <x v="2"/>
    <s v="Bengaluru"/>
    <s v="Karnataka"/>
    <x v="2"/>
    <x v="2"/>
    <s v="Paper"/>
    <x v="667"/>
    <n v="40437.71"/>
    <n v="9"/>
    <n v="0.1"/>
    <n v="4430.21"/>
    <x v="0"/>
    <x v="2"/>
  </r>
  <r>
    <n v="1684"/>
    <x v="232"/>
    <d v="2025-09-30T00:00:00"/>
    <s v="C1186"/>
    <s v="Customer 109"/>
    <x v="0"/>
    <s v="Kolkata"/>
    <s v="West Bengal"/>
    <x v="3"/>
    <x v="2"/>
    <s v="Binder"/>
    <x v="668"/>
    <n v="1011.99"/>
    <n v="5"/>
    <n v="0"/>
    <n v="150.46"/>
    <x v="3"/>
    <x v="0"/>
  </r>
  <r>
    <n v="1685"/>
    <x v="123"/>
    <d v="2025-12-29T00:00:00"/>
    <s v="C1231"/>
    <s v="Customer 54"/>
    <x v="2"/>
    <s v="Pune"/>
    <s v="Maharashtra"/>
    <x v="0"/>
    <x v="2"/>
    <s v="Paper"/>
    <x v="669"/>
    <n v="62064.73"/>
    <n v="6"/>
    <n v="0.25"/>
    <n v="6607.79"/>
    <x v="0"/>
    <x v="2"/>
  </r>
  <r>
    <n v="1686"/>
    <x v="455"/>
    <d v="2024-02-08T00:00:00"/>
    <s v="C1273"/>
    <s v="Customer 209"/>
    <x v="0"/>
    <s v="Ahmedabad"/>
    <s v="Gujarat"/>
    <x v="0"/>
    <x v="1"/>
    <s v="Chair"/>
    <x v="670"/>
    <n v="68834.070000000007"/>
    <n v="1"/>
    <n v="0.05"/>
    <n v="6426.14"/>
    <x v="3"/>
    <x v="1"/>
  </r>
  <r>
    <n v="1687"/>
    <x v="452"/>
    <d v="2025-11-08T00:00:00"/>
    <s v="C1062"/>
    <s v="Customer 180"/>
    <x v="2"/>
    <s v="Patna"/>
    <s v="Bihar"/>
    <x v="3"/>
    <x v="0"/>
    <s v="Keyboard"/>
    <x v="671"/>
    <n v="20578.62"/>
    <n v="5"/>
    <n v="0.25"/>
    <n v="1761.11"/>
    <x v="6"/>
    <x v="1"/>
  </r>
  <r>
    <n v="1688"/>
    <x v="88"/>
    <d v="2025-09-08T00:00:00"/>
    <s v="C1128"/>
    <s v="Customer 148"/>
    <x v="2"/>
    <s v="Delhi"/>
    <s v="Delhi"/>
    <x v="1"/>
    <x v="0"/>
    <s v="Mouse"/>
    <x v="672"/>
    <n v="45476.28"/>
    <n v="9"/>
    <n v="0.1"/>
    <n v="8997.68"/>
    <x v="5"/>
    <x v="1"/>
  </r>
  <r>
    <n v="1689"/>
    <x v="406"/>
    <d v="2024-12-27T00:00:00"/>
    <s v="C1066"/>
    <s v="Customer 102"/>
    <x v="2"/>
    <s v="Ahmedabad"/>
    <s v="Gujarat"/>
    <x v="0"/>
    <x v="0"/>
    <s v="Monitor"/>
    <x v="650"/>
    <n v="54690.720000000001"/>
    <n v="6"/>
    <n v="0.05"/>
    <n v="10518.67"/>
    <x v="2"/>
    <x v="1"/>
  </r>
  <r>
    <n v="1690"/>
    <x v="239"/>
    <d v="2024-03-10T00:00:00"/>
    <s v="C1270"/>
    <s v="Customer 160"/>
    <x v="1"/>
    <s v="Delhi"/>
    <s v="Delhi"/>
    <x v="1"/>
    <x v="0"/>
    <s v="Phone"/>
    <x v="673"/>
    <n v="14755.3"/>
    <n v="4"/>
    <n v="0.05"/>
    <n v="3165.66"/>
    <x v="2"/>
    <x v="3"/>
  </r>
  <r>
    <n v="1691"/>
    <x v="456"/>
    <d v="2024-12-24T00:00:00"/>
    <s v="C1185"/>
    <s v="Customer 179"/>
    <x v="0"/>
    <s v="Jaipur"/>
    <s v="Rajasthan"/>
    <x v="1"/>
    <x v="1"/>
    <s v="Chair"/>
    <x v="674"/>
    <n v="18175.5"/>
    <n v="1"/>
    <n v="0.1"/>
    <n v="3098.59"/>
    <x v="4"/>
    <x v="2"/>
  </r>
  <r>
    <n v="1692"/>
    <x v="457"/>
    <d v="2024-01-25T00:00:00"/>
    <s v="C1054"/>
    <s v="Customer 289"/>
    <x v="2"/>
    <s v="Ahmedabad"/>
    <s v="Gujarat"/>
    <x v="0"/>
    <x v="0"/>
    <s v="Phone"/>
    <x v="675"/>
    <n v="48271.89"/>
    <n v="6"/>
    <n v="0.1"/>
    <n v="6024.67"/>
    <x v="5"/>
    <x v="2"/>
  </r>
  <r>
    <n v="1693"/>
    <x v="217"/>
    <d v="2025-10-06T00:00:00"/>
    <s v="C1069"/>
    <s v="Customer 129"/>
    <x v="2"/>
    <s v="Kolkata"/>
    <s v="West Bengal"/>
    <x v="3"/>
    <x v="1"/>
    <s v="Bookcase"/>
    <x v="676"/>
    <n v="21946.06"/>
    <n v="6"/>
    <n v="0.05"/>
    <n v="5499.35"/>
    <x v="2"/>
    <x v="1"/>
  </r>
  <r>
    <n v="1694"/>
    <x v="458"/>
    <d v="2025-01-12T00:00:00"/>
    <s v="C1300"/>
    <s v="Customer 69"/>
    <x v="0"/>
    <s v="Mumbai"/>
    <s v="Maharashtra"/>
    <x v="0"/>
    <x v="0"/>
    <s v="Phone"/>
    <x v="677"/>
    <n v="85169.44"/>
    <n v="3"/>
    <n v="0.1"/>
    <n v="7463.79"/>
    <x v="3"/>
    <x v="3"/>
  </r>
  <r>
    <n v="1695"/>
    <x v="255"/>
    <d v="2024-09-12T00:00:00"/>
    <s v="C1171"/>
    <s v="Customer 218"/>
    <x v="2"/>
    <s v="Pune"/>
    <s v="Maharashtra"/>
    <x v="0"/>
    <x v="0"/>
    <s v="Laptop"/>
    <x v="678"/>
    <n v="78662.83"/>
    <n v="6"/>
    <n v="0.2"/>
    <n v="12541.65"/>
    <x v="1"/>
    <x v="2"/>
  </r>
  <r>
    <n v="1696"/>
    <x v="33"/>
    <d v="2025-12-24T00:00:00"/>
    <s v="C1273"/>
    <s v="Customer 239"/>
    <x v="1"/>
    <s v="Lucknow"/>
    <s v="Uttar Pradesh"/>
    <x v="1"/>
    <x v="2"/>
    <s v="Notebook"/>
    <x v="679"/>
    <n v="50745.54"/>
    <n v="7"/>
    <n v="0.15"/>
    <n v="11663.74"/>
    <x v="5"/>
    <x v="1"/>
  </r>
  <r>
    <n v="1697"/>
    <x v="295"/>
    <d v="2024-02-12T00:00:00"/>
    <s v="C1293"/>
    <s v="Customer 281"/>
    <x v="0"/>
    <s v="Jaipur"/>
    <s v="Rajasthan"/>
    <x v="1"/>
    <x v="1"/>
    <s v="Chair"/>
    <x v="680"/>
    <n v="66829.61"/>
    <n v="1"/>
    <n v="0.05"/>
    <n v="5237.9799999999996"/>
    <x v="1"/>
    <x v="0"/>
  </r>
  <r>
    <n v="1698"/>
    <x v="459"/>
    <d v="2025-09-27T00:00:00"/>
    <s v="C1111"/>
    <s v="Customer 208"/>
    <x v="0"/>
    <s v="Mumbai"/>
    <s v="Maharashtra"/>
    <x v="0"/>
    <x v="1"/>
    <s v="Table"/>
    <x v="681"/>
    <n v="33911.019999999997"/>
    <n v="1"/>
    <n v="0.25"/>
    <n v="1294.32"/>
    <x v="2"/>
    <x v="1"/>
  </r>
  <r>
    <n v="1699"/>
    <x v="280"/>
    <d v="2024-02-08T00:00:00"/>
    <s v="C1231"/>
    <s v="Customer 96"/>
    <x v="1"/>
    <s v="Chennai"/>
    <s v="Tamil Nadu"/>
    <x v="2"/>
    <x v="2"/>
    <s v="Binder"/>
    <x v="682"/>
    <n v="25888.71"/>
    <n v="7"/>
    <n v="0.25"/>
    <n v="1053.8499999999999"/>
    <x v="7"/>
    <x v="3"/>
  </r>
  <r>
    <n v="1700"/>
    <x v="237"/>
    <d v="2024-04-21T00:00:00"/>
    <s v="C1023"/>
    <s v="Customer 107"/>
    <x v="1"/>
    <s v="Ahmedabad"/>
    <s v="Gujarat"/>
    <x v="0"/>
    <x v="1"/>
    <s v="Table"/>
    <x v="683"/>
    <n v="24368.09"/>
    <n v="2"/>
    <n v="0"/>
    <n v="3273"/>
    <x v="4"/>
    <x v="1"/>
  </r>
  <r>
    <n v="1701"/>
    <x v="436"/>
    <d v="2025-01-14T00:00:00"/>
    <s v="C1253"/>
    <s v="Customer 76"/>
    <x v="1"/>
    <s v="Ahmedabad"/>
    <s v="Gujarat"/>
    <x v="0"/>
    <x v="1"/>
    <s v="Table"/>
    <x v="684"/>
    <n v="67927.17"/>
    <n v="4"/>
    <n v="0.15"/>
    <n v="8902.74"/>
    <x v="5"/>
    <x v="3"/>
  </r>
  <r>
    <n v="1702"/>
    <x v="4"/>
    <d v="2024-07-19T00:00:00"/>
    <s v="C1096"/>
    <s v="Customer 209"/>
    <x v="1"/>
    <s v="Jaipur"/>
    <s v="Rajasthan"/>
    <x v="1"/>
    <x v="1"/>
    <s v="Bookcase"/>
    <x v="685"/>
    <n v="79534.48"/>
    <n v="6"/>
    <n v="0.25"/>
    <n v="3505.06"/>
    <x v="5"/>
    <x v="3"/>
  </r>
  <r>
    <n v="1703"/>
    <x v="170"/>
    <d v="2025-03-10T00:00:00"/>
    <s v="C1240"/>
    <s v="Customer 245"/>
    <x v="1"/>
    <s v="Chennai"/>
    <s v="Tamil Nadu"/>
    <x v="2"/>
    <x v="2"/>
    <s v="Binder"/>
    <x v="686"/>
    <n v="84131.93"/>
    <n v="2"/>
    <n v="0.05"/>
    <n v="14821.03"/>
    <x v="1"/>
    <x v="0"/>
  </r>
  <r>
    <n v="1704"/>
    <x v="460"/>
    <d v="2025-05-21T00:00:00"/>
    <s v="C1249"/>
    <s v="Customer 201"/>
    <x v="0"/>
    <s v="Kolkata"/>
    <s v="West Bengal"/>
    <x v="3"/>
    <x v="1"/>
    <s v="Chair"/>
    <x v="687"/>
    <n v="74761.13"/>
    <n v="1"/>
    <n v="0.1"/>
    <n v="16578.310000000001"/>
    <x v="0"/>
    <x v="2"/>
  </r>
  <r>
    <n v="1705"/>
    <x v="341"/>
    <d v="2024-11-04T00:00:00"/>
    <s v="C1057"/>
    <s v="Customer 73"/>
    <x v="2"/>
    <s v="Jaipur"/>
    <s v="Rajasthan"/>
    <x v="1"/>
    <x v="0"/>
    <s v="Keyboard"/>
    <x v="688"/>
    <n v="81982.75"/>
    <n v="6"/>
    <n v="0"/>
    <n v="24251.57"/>
    <x v="3"/>
    <x v="3"/>
  </r>
  <r>
    <n v="1706"/>
    <x v="461"/>
    <d v="2024-07-01T00:00:00"/>
    <s v="C1187"/>
    <s v="Customer 205"/>
    <x v="2"/>
    <s v="Mumbai"/>
    <s v="Maharashtra"/>
    <x v="0"/>
    <x v="0"/>
    <s v="Phone"/>
    <x v="689"/>
    <n v="81667.570000000007"/>
    <n v="9"/>
    <n v="0.2"/>
    <n v="11056.22"/>
    <x v="4"/>
    <x v="2"/>
  </r>
  <r>
    <n v="1707"/>
    <x v="462"/>
    <d v="2024-08-22T00:00:00"/>
    <s v="C1233"/>
    <s v="Customer 163"/>
    <x v="0"/>
    <s v="Pune"/>
    <s v="Maharashtra"/>
    <x v="0"/>
    <x v="0"/>
    <s v="Phone"/>
    <x v="690"/>
    <n v="6907.15"/>
    <n v="10"/>
    <n v="0.05"/>
    <n v="531.61"/>
    <x v="4"/>
    <x v="2"/>
  </r>
  <r>
    <n v="1708"/>
    <x v="197"/>
    <d v="2024-10-28T00:00:00"/>
    <s v="C1126"/>
    <s v="Customer 17"/>
    <x v="2"/>
    <s v="Bhubaneswar"/>
    <s v="Odisha"/>
    <x v="3"/>
    <x v="1"/>
    <s v="Sofa"/>
    <x v="691"/>
    <n v="26379.279999999999"/>
    <n v="9"/>
    <n v="0.15"/>
    <n v="2062.35"/>
    <x v="0"/>
    <x v="3"/>
  </r>
  <r>
    <n v="1709"/>
    <x v="76"/>
    <d v="2025-12-03T00:00:00"/>
    <s v="C1047"/>
    <s v="Customer 207"/>
    <x v="2"/>
    <s v="Bengaluru"/>
    <s v="Karnataka"/>
    <x v="2"/>
    <x v="2"/>
    <s v="Storage"/>
    <x v="692"/>
    <n v="10907.83"/>
    <n v="9"/>
    <n v="0"/>
    <n v="2605.84"/>
    <x v="0"/>
    <x v="1"/>
  </r>
  <r>
    <n v="1710"/>
    <x v="463"/>
    <d v="2025-05-01T00:00:00"/>
    <s v="C1293"/>
    <s v="Customer 144"/>
    <x v="0"/>
    <s v="Bengaluru"/>
    <s v="Karnataka"/>
    <x v="2"/>
    <x v="0"/>
    <s v="Monitor"/>
    <x v="666"/>
    <n v="56546.14"/>
    <n v="2"/>
    <n v="0.15"/>
    <n v="3853.66"/>
    <x v="1"/>
    <x v="3"/>
  </r>
  <r>
    <n v="1711"/>
    <x v="0"/>
    <d v="2025-03-05T00:00:00"/>
    <s v="C1167"/>
    <s v="Customer 287"/>
    <x v="0"/>
    <s v="Ahmedabad"/>
    <s v="Gujarat"/>
    <x v="0"/>
    <x v="0"/>
    <s v="Laptop"/>
    <x v="693"/>
    <n v="69495.45"/>
    <n v="3"/>
    <n v="0.05"/>
    <n v="14162.27"/>
    <x v="1"/>
    <x v="1"/>
  </r>
  <r>
    <n v="1712"/>
    <x v="464"/>
    <d v="2024-10-23T00:00:00"/>
    <s v="C1131"/>
    <s v="Customer 6"/>
    <x v="1"/>
    <s v="Pune"/>
    <s v="Maharashtra"/>
    <x v="0"/>
    <x v="1"/>
    <s v="Table"/>
    <x v="694"/>
    <n v="9240.34"/>
    <n v="5"/>
    <n v="0.1"/>
    <n v="489.33"/>
    <x v="7"/>
    <x v="2"/>
  </r>
  <r>
    <n v="1713"/>
    <x v="325"/>
    <d v="2025-03-06T00:00:00"/>
    <s v="C1274"/>
    <s v="Customer 66"/>
    <x v="2"/>
    <s v="Chennai"/>
    <s v="Tamil Nadu"/>
    <x v="2"/>
    <x v="0"/>
    <s v="Monitor"/>
    <x v="695"/>
    <n v="39338.69"/>
    <n v="10"/>
    <n v="0.15"/>
    <n v="9339.85"/>
    <x v="0"/>
    <x v="0"/>
  </r>
  <r>
    <n v="1714"/>
    <x v="465"/>
    <d v="2025-04-25T00:00:00"/>
    <s v="C1160"/>
    <s v="Customer 120"/>
    <x v="0"/>
    <s v="Chennai"/>
    <s v="Tamil Nadu"/>
    <x v="2"/>
    <x v="0"/>
    <s v="Monitor"/>
    <x v="696"/>
    <n v="20703.560000000001"/>
    <n v="6"/>
    <n v="0.25"/>
    <n v="3270.55"/>
    <x v="1"/>
    <x v="1"/>
  </r>
  <r>
    <n v="1715"/>
    <x v="246"/>
    <d v="2025-09-17T00:00:00"/>
    <s v="C1019"/>
    <s v="Customer 22"/>
    <x v="0"/>
    <s v="Jaipur"/>
    <s v="Rajasthan"/>
    <x v="1"/>
    <x v="1"/>
    <s v="Bookcase"/>
    <x v="697"/>
    <n v="84622.6"/>
    <n v="5"/>
    <n v="0.2"/>
    <n v="3030.58"/>
    <x v="5"/>
    <x v="3"/>
  </r>
  <r>
    <n v="1716"/>
    <x v="452"/>
    <d v="2025-11-11T00:00:00"/>
    <s v="C1197"/>
    <s v="Customer 24"/>
    <x v="0"/>
    <s v="Kolkata"/>
    <s v="West Bengal"/>
    <x v="3"/>
    <x v="0"/>
    <s v="Monitor"/>
    <x v="698"/>
    <n v="4646.9799999999996"/>
    <n v="5"/>
    <n v="0.3"/>
    <n v="683.58"/>
    <x v="6"/>
    <x v="0"/>
  </r>
  <r>
    <n v="1717"/>
    <x v="466"/>
    <d v="2025-07-02T00:00:00"/>
    <s v="C1269"/>
    <s v="Customer 132"/>
    <x v="0"/>
    <s v="Patna"/>
    <s v="Bihar"/>
    <x v="3"/>
    <x v="2"/>
    <s v="Storage"/>
    <x v="699"/>
    <n v="23721.23"/>
    <n v="4"/>
    <n v="0.15"/>
    <n v="634.78"/>
    <x v="5"/>
    <x v="0"/>
  </r>
  <r>
    <n v="1718"/>
    <x v="186"/>
    <d v="2024-03-17T00:00:00"/>
    <s v="C1214"/>
    <s v="Customer 33"/>
    <x v="1"/>
    <s v="Jaipur"/>
    <s v="Rajasthan"/>
    <x v="1"/>
    <x v="1"/>
    <s v="Bookcase"/>
    <x v="700"/>
    <n v="3283.49"/>
    <n v="7"/>
    <n v="0.05"/>
    <n v="205.04"/>
    <x v="7"/>
    <x v="0"/>
  </r>
  <r>
    <n v="1719"/>
    <x v="467"/>
    <d v="2025-02-19T00:00:00"/>
    <s v="C1064"/>
    <s v="Customer 139"/>
    <x v="0"/>
    <s v="Patna"/>
    <s v="Bihar"/>
    <x v="3"/>
    <x v="1"/>
    <s v="Table"/>
    <x v="701"/>
    <n v="12648.54"/>
    <n v="4"/>
    <n v="0.2"/>
    <n v="1025.56"/>
    <x v="2"/>
    <x v="3"/>
  </r>
  <r>
    <n v="1720"/>
    <x v="369"/>
    <d v="2025-05-04T00:00:00"/>
    <s v="C1164"/>
    <s v="Customer 96"/>
    <x v="1"/>
    <s v="Delhi"/>
    <s v="Delhi"/>
    <x v="1"/>
    <x v="0"/>
    <s v="Mouse"/>
    <x v="702"/>
    <n v="53350.64"/>
    <n v="7"/>
    <n v="0.25"/>
    <n v="-215.99"/>
    <x v="5"/>
    <x v="1"/>
  </r>
  <r>
    <n v="1721"/>
    <x v="190"/>
    <d v="2024-12-06T00:00:00"/>
    <s v="C1237"/>
    <s v="Customer 261"/>
    <x v="1"/>
    <s v="Mumbai"/>
    <s v="Maharashtra"/>
    <x v="0"/>
    <x v="0"/>
    <s v="Laptop"/>
    <x v="703"/>
    <n v="31620.75"/>
    <n v="9"/>
    <n v="0"/>
    <n v="5686.84"/>
    <x v="3"/>
    <x v="1"/>
  </r>
  <r>
    <n v="1722"/>
    <x v="468"/>
    <d v="2025-01-01T00:00:00"/>
    <s v="C1266"/>
    <s v="Customer 86"/>
    <x v="0"/>
    <s v="Kolkata"/>
    <s v="West Bengal"/>
    <x v="3"/>
    <x v="1"/>
    <s v="Bookcase"/>
    <x v="704"/>
    <n v="29775.74"/>
    <n v="6"/>
    <n v="0.3"/>
    <n v="3721.06"/>
    <x v="4"/>
    <x v="1"/>
  </r>
  <r>
    <n v="1723"/>
    <x v="469"/>
    <d v="2025-02-23T00:00:00"/>
    <s v="C1149"/>
    <s v="Customer 3"/>
    <x v="1"/>
    <s v="Hyderabad"/>
    <s v="Telangana"/>
    <x v="2"/>
    <x v="1"/>
    <s v="Table"/>
    <x v="705"/>
    <n v="43726.47"/>
    <n v="5"/>
    <n v="0.1"/>
    <n v="5822.76"/>
    <x v="6"/>
    <x v="1"/>
  </r>
  <r>
    <n v="1724"/>
    <x v="470"/>
    <d v="2024-07-11T00:00:00"/>
    <s v="C1197"/>
    <s v="Customer 41"/>
    <x v="1"/>
    <s v="Ahmedabad"/>
    <s v="Gujarat"/>
    <x v="0"/>
    <x v="2"/>
    <s v="Pen"/>
    <x v="706"/>
    <n v="18506.45"/>
    <n v="8"/>
    <n v="0.2"/>
    <n v="2142.5"/>
    <x v="2"/>
    <x v="3"/>
  </r>
  <r>
    <n v="1725"/>
    <x v="23"/>
    <d v="2025-10-07T00:00:00"/>
    <s v="C1219"/>
    <s v="Customer 224"/>
    <x v="1"/>
    <s v="Jaipur"/>
    <s v="Rajasthan"/>
    <x v="1"/>
    <x v="0"/>
    <s v="Keyboard"/>
    <x v="707"/>
    <n v="6486.87"/>
    <n v="8"/>
    <n v="0.05"/>
    <n v="1360.32"/>
    <x v="4"/>
    <x v="0"/>
  </r>
  <r>
    <n v="1726"/>
    <x v="471"/>
    <d v="2024-12-08T00:00:00"/>
    <s v="C1100"/>
    <s v="Customer 89"/>
    <x v="2"/>
    <s v="Ahmedabad"/>
    <s v="Gujarat"/>
    <x v="0"/>
    <x v="0"/>
    <s v="Phone"/>
    <x v="708"/>
    <n v="77424.58"/>
    <n v="2"/>
    <n v="0"/>
    <n v="7307.71"/>
    <x v="6"/>
    <x v="2"/>
  </r>
  <r>
    <n v="1727"/>
    <x v="132"/>
    <d v="2024-03-19T00:00:00"/>
    <s v="C1289"/>
    <s v="Customer 6"/>
    <x v="1"/>
    <s v="Lucknow"/>
    <s v="Uttar Pradesh"/>
    <x v="1"/>
    <x v="1"/>
    <s v="Chair"/>
    <x v="709"/>
    <n v="59844.43"/>
    <n v="10"/>
    <n v="0.3"/>
    <n v="-107.81"/>
    <x v="6"/>
    <x v="2"/>
  </r>
  <r>
    <n v="1728"/>
    <x v="325"/>
    <d v="2025-03-05T00:00:00"/>
    <s v="C1185"/>
    <s v="Customer 75"/>
    <x v="2"/>
    <s v="Patna"/>
    <s v="Bihar"/>
    <x v="3"/>
    <x v="0"/>
    <s v="Laptop"/>
    <x v="710"/>
    <n v="54829.51"/>
    <n v="9"/>
    <n v="0.15"/>
    <n v="10321.64"/>
    <x v="2"/>
    <x v="0"/>
  </r>
  <r>
    <n v="1729"/>
    <x v="199"/>
    <d v="2024-02-27T00:00:00"/>
    <s v="C1198"/>
    <s v="Customer 200"/>
    <x v="2"/>
    <s v="Bhubaneswar"/>
    <s v="Odisha"/>
    <x v="3"/>
    <x v="2"/>
    <s v="Paper"/>
    <x v="16"/>
    <n v="5017.9399999999996"/>
    <n v="2"/>
    <n v="0.3"/>
    <n v="798.54"/>
    <x v="3"/>
    <x v="3"/>
  </r>
  <r>
    <n v="1730"/>
    <x v="472"/>
    <d v="2024-03-12T00:00:00"/>
    <s v="C1233"/>
    <s v="Customer 135"/>
    <x v="1"/>
    <s v="Kolkata"/>
    <s v="West Bengal"/>
    <x v="3"/>
    <x v="1"/>
    <s v="Bookcase"/>
    <x v="711"/>
    <n v="35231.46"/>
    <n v="3"/>
    <n v="0.3"/>
    <n v="5263.29"/>
    <x v="7"/>
    <x v="0"/>
  </r>
  <r>
    <n v="1731"/>
    <x v="473"/>
    <d v="2025-04-19T00:00:00"/>
    <s v="C1051"/>
    <s v="Customer 274"/>
    <x v="1"/>
    <s v="Chennai"/>
    <s v="Tamil Nadu"/>
    <x v="2"/>
    <x v="2"/>
    <s v="Notebook"/>
    <x v="712"/>
    <n v="19468.419999999998"/>
    <n v="10"/>
    <n v="0.1"/>
    <n v="3259.29"/>
    <x v="0"/>
    <x v="0"/>
  </r>
  <r>
    <n v="1732"/>
    <x v="474"/>
    <d v="2024-05-16T00:00:00"/>
    <s v="C1013"/>
    <s v="Customer 193"/>
    <x v="2"/>
    <s v="Hyderabad"/>
    <s v="Telangana"/>
    <x v="2"/>
    <x v="1"/>
    <s v="Sofa"/>
    <x v="713"/>
    <n v="34865.919999999998"/>
    <n v="3"/>
    <n v="0.2"/>
    <n v="7654.07"/>
    <x v="0"/>
    <x v="2"/>
  </r>
  <r>
    <n v="1733"/>
    <x v="115"/>
    <d v="2024-05-20T00:00:00"/>
    <s v="C1286"/>
    <s v="Customer 271"/>
    <x v="0"/>
    <s v="Pune"/>
    <s v="Maharashtra"/>
    <x v="0"/>
    <x v="2"/>
    <s v="Pen"/>
    <x v="714"/>
    <n v="25234.48"/>
    <n v="2"/>
    <n v="0.15"/>
    <n v="3977.35"/>
    <x v="0"/>
    <x v="2"/>
  </r>
  <r>
    <n v="1734"/>
    <x v="475"/>
    <d v="2024-07-03T00:00:00"/>
    <s v="C1274"/>
    <s v="Customer 187"/>
    <x v="1"/>
    <s v="Patna"/>
    <s v="Bihar"/>
    <x v="3"/>
    <x v="1"/>
    <s v="Bookcase"/>
    <x v="715"/>
    <n v="15343.79"/>
    <n v="4"/>
    <n v="0"/>
    <n v="1859.36"/>
    <x v="0"/>
    <x v="1"/>
  </r>
  <r>
    <n v="1735"/>
    <x v="476"/>
    <d v="2024-01-15T00:00:00"/>
    <s v="C1007"/>
    <s v="Customer 248"/>
    <x v="0"/>
    <s v="Lucknow"/>
    <s v="Uttar Pradesh"/>
    <x v="1"/>
    <x v="1"/>
    <s v="Table"/>
    <x v="716"/>
    <n v="14415.3"/>
    <n v="3"/>
    <n v="0"/>
    <n v="3296"/>
    <x v="7"/>
    <x v="2"/>
  </r>
  <r>
    <n v="1736"/>
    <x v="141"/>
    <d v="2024-08-24T00:00:00"/>
    <s v="C1191"/>
    <s v="Customer 169"/>
    <x v="0"/>
    <s v="Pune"/>
    <s v="Maharashtra"/>
    <x v="0"/>
    <x v="0"/>
    <s v="Monitor"/>
    <x v="717"/>
    <n v="3606.31"/>
    <n v="1"/>
    <n v="0"/>
    <n v="312.63"/>
    <x v="0"/>
    <x v="3"/>
  </r>
  <r>
    <n v="1737"/>
    <x v="12"/>
    <d v="2024-09-25T00:00:00"/>
    <s v="C1235"/>
    <s v="Customer 10"/>
    <x v="1"/>
    <s v="Bengaluru"/>
    <s v="Karnataka"/>
    <x v="2"/>
    <x v="1"/>
    <s v="Bookcase"/>
    <x v="718"/>
    <n v="74529.25"/>
    <n v="6"/>
    <n v="0.15"/>
    <n v="2671.28"/>
    <x v="5"/>
    <x v="0"/>
  </r>
  <r>
    <n v="1738"/>
    <x v="477"/>
    <d v="2025-05-17T00:00:00"/>
    <s v="C1265"/>
    <s v="Customer 102"/>
    <x v="0"/>
    <s v="Mumbai"/>
    <s v="Maharashtra"/>
    <x v="0"/>
    <x v="2"/>
    <s v="Pen"/>
    <x v="719"/>
    <n v="67962.66"/>
    <n v="6"/>
    <n v="0.1"/>
    <n v="7128.94"/>
    <x v="6"/>
    <x v="2"/>
  </r>
  <r>
    <n v="1739"/>
    <x v="478"/>
    <d v="2025-10-03T00:00:00"/>
    <s v="C1153"/>
    <s v="Customer 240"/>
    <x v="1"/>
    <s v="Jaipur"/>
    <s v="Rajasthan"/>
    <x v="1"/>
    <x v="0"/>
    <s v="Phone"/>
    <x v="720"/>
    <n v="56116.9"/>
    <n v="7"/>
    <n v="0.05"/>
    <n v="12783.2"/>
    <x v="4"/>
    <x v="1"/>
  </r>
  <r>
    <n v="1740"/>
    <x v="435"/>
    <d v="2025-06-05T00:00:00"/>
    <s v="C1032"/>
    <s v="Customer 208"/>
    <x v="2"/>
    <s v="Mumbai"/>
    <s v="Maharashtra"/>
    <x v="0"/>
    <x v="0"/>
    <s v="Laptop"/>
    <x v="721"/>
    <n v="41832.339999999997"/>
    <n v="5"/>
    <n v="0.2"/>
    <n v="3570.1"/>
    <x v="0"/>
    <x v="0"/>
  </r>
  <r>
    <n v="1741"/>
    <x v="479"/>
    <d v="2024-02-28T00:00:00"/>
    <s v="C1161"/>
    <s v="Customer 164"/>
    <x v="0"/>
    <s v="Chennai"/>
    <s v="Tamil Nadu"/>
    <x v="2"/>
    <x v="2"/>
    <s v="Notebook"/>
    <x v="722"/>
    <n v="43067.78"/>
    <n v="7"/>
    <n v="0.05"/>
    <n v="6842.85"/>
    <x v="6"/>
    <x v="1"/>
  </r>
  <r>
    <n v="1742"/>
    <x v="32"/>
    <d v="2025-12-06T00:00:00"/>
    <s v="C1295"/>
    <s v="Customer 171"/>
    <x v="2"/>
    <s v="Bengaluru"/>
    <s v="Karnataka"/>
    <x v="2"/>
    <x v="1"/>
    <s v="Bookcase"/>
    <x v="723"/>
    <n v="32602.29"/>
    <n v="1"/>
    <n v="0.05"/>
    <n v="4199.28"/>
    <x v="3"/>
    <x v="1"/>
  </r>
  <r>
    <n v="1743"/>
    <x v="333"/>
    <d v="2025-05-02T00:00:00"/>
    <s v="C1123"/>
    <s v="Customer 232"/>
    <x v="1"/>
    <s v="Pune"/>
    <s v="Maharashtra"/>
    <x v="0"/>
    <x v="1"/>
    <s v="Bookcase"/>
    <x v="724"/>
    <n v="86016.81"/>
    <n v="1"/>
    <n v="0.15"/>
    <n v="13989.84"/>
    <x v="1"/>
    <x v="1"/>
  </r>
  <r>
    <n v="1744"/>
    <x v="396"/>
    <d v="2025-10-02T00:00:00"/>
    <s v="C1182"/>
    <s v="Customer 230"/>
    <x v="1"/>
    <s v="Bhubaneswar"/>
    <s v="Odisha"/>
    <x v="3"/>
    <x v="0"/>
    <s v="Laptop"/>
    <x v="725"/>
    <n v="87618.7"/>
    <n v="6"/>
    <n v="0"/>
    <n v="7883.61"/>
    <x v="1"/>
    <x v="0"/>
  </r>
  <r>
    <n v="1745"/>
    <x v="471"/>
    <d v="2024-12-09T00:00:00"/>
    <s v="C1135"/>
    <s v="Customer 79"/>
    <x v="2"/>
    <s v="Pune"/>
    <s v="Maharashtra"/>
    <x v="0"/>
    <x v="2"/>
    <s v="Paper"/>
    <x v="726"/>
    <n v="14968.04"/>
    <n v="6"/>
    <n v="0.05"/>
    <n v="4161.72"/>
    <x v="4"/>
    <x v="3"/>
  </r>
  <r>
    <n v="1746"/>
    <x v="480"/>
    <d v="2024-11-09T00:00:00"/>
    <s v="C1167"/>
    <s v="Customer 185"/>
    <x v="1"/>
    <s v="Hyderabad"/>
    <s v="Telangana"/>
    <x v="2"/>
    <x v="0"/>
    <s v="Mouse"/>
    <x v="727"/>
    <n v="32080.26"/>
    <n v="10"/>
    <n v="0"/>
    <n v="9065.5400000000009"/>
    <x v="1"/>
    <x v="2"/>
  </r>
  <r>
    <n v="1747"/>
    <x v="481"/>
    <d v="2024-11-17T00:00:00"/>
    <s v="C1148"/>
    <s v="Customer 44"/>
    <x v="2"/>
    <s v="Kolkata"/>
    <s v="West Bengal"/>
    <x v="3"/>
    <x v="0"/>
    <s v="Laptop"/>
    <x v="728"/>
    <n v="22944.95"/>
    <n v="8"/>
    <n v="0.1"/>
    <n v="4088.8"/>
    <x v="4"/>
    <x v="2"/>
  </r>
  <r>
    <n v="1748"/>
    <x v="79"/>
    <d v="2024-11-11T00:00:00"/>
    <s v="C1042"/>
    <s v="Customer 86"/>
    <x v="1"/>
    <s v="Bengaluru"/>
    <s v="Karnataka"/>
    <x v="2"/>
    <x v="0"/>
    <s v="Laptop"/>
    <x v="729"/>
    <n v="85216.81"/>
    <n v="10"/>
    <n v="0.25"/>
    <n v="16902.82"/>
    <x v="0"/>
    <x v="0"/>
  </r>
  <r>
    <n v="1749"/>
    <x v="31"/>
    <d v="2024-07-31T00:00:00"/>
    <s v="C1100"/>
    <s v="Customer 33"/>
    <x v="0"/>
    <s v="Kolkata"/>
    <s v="West Bengal"/>
    <x v="3"/>
    <x v="1"/>
    <s v="Table"/>
    <x v="730"/>
    <n v="62393.02"/>
    <n v="5"/>
    <n v="0.15"/>
    <n v="8093.21"/>
    <x v="1"/>
    <x v="2"/>
  </r>
  <r>
    <n v="1750"/>
    <x v="115"/>
    <d v="2024-05-24T00:00:00"/>
    <s v="C1077"/>
    <s v="Customer 43"/>
    <x v="2"/>
    <s v="Hyderabad"/>
    <s v="Telangana"/>
    <x v="2"/>
    <x v="2"/>
    <s v="Notebook"/>
    <x v="731"/>
    <n v="61492.959999999999"/>
    <n v="2"/>
    <n v="0.3"/>
    <n v="7464.69"/>
    <x v="2"/>
    <x v="0"/>
  </r>
  <r>
    <n v="1751"/>
    <x v="442"/>
    <d v="2024-02-01T00:00:00"/>
    <s v="C1110"/>
    <s v="Customer 28"/>
    <x v="2"/>
    <s v="Lucknow"/>
    <s v="Uttar Pradesh"/>
    <x v="1"/>
    <x v="0"/>
    <s v="Phone"/>
    <x v="732"/>
    <n v="13102.7"/>
    <n v="5"/>
    <n v="0.3"/>
    <n v="446.26"/>
    <x v="4"/>
    <x v="1"/>
  </r>
  <r>
    <n v="1752"/>
    <x v="482"/>
    <d v="2024-10-11T00:00:00"/>
    <s v="C1062"/>
    <s v="Customer 158"/>
    <x v="2"/>
    <s v="Patna"/>
    <s v="Bihar"/>
    <x v="3"/>
    <x v="2"/>
    <s v="Paper"/>
    <x v="733"/>
    <n v="43310.6"/>
    <n v="8"/>
    <n v="0.25"/>
    <n v="5626.74"/>
    <x v="2"/>
    <x v="2"/>
  </r>
  <r>
    <n v="1753"/>
    <x v="239"/>
    <d v="2024-03-10T00:00:00"/>
    <s v="C1033"/>
    <s v="Customer 122"/>
    <x v="1"/>
    <s v="Bengaluru"/>
    <s v="Karnataka"/>
    <x v="2"/>
    <x v="1"/>
    <s v="Table"/>
    <x v="734"/>
    <n v="18563.599999999999"/>
    <n v="9"/>
    <n v="0.1"/>
    <n v="2491"/>
    <x v="7"/>
    <x v="1"/>
  </r>
  <r>
    <n v="1754"/>
    <x v="160"/>
    <d v="2025-08-14T00:00:00"/>
    <s v="C1097"/>
    <s v="Customer 223"/>
    <x v="2"/>
    <s v="Ahmedabad"/>
    <s v="Gujarat"/>
    <x v="0"/>
    <x v="2"/>
    <s v="Storage"/>
    <x v="735"/>
    <n v="68446.929999999993"/>
    <n v="6"/>
    <n v="0.05"/>
    <n v="16288.89"/>
    <x v="5"/>
    <x v="1"/>
  </r>
  <r>
    <n v="1755"/>
    <x v="479"/>
    <d v="2024-02-27T00:00:00"/>
    <s v="C1029"/>
    <s v="Customer 197"/>
    <x v="0"/>
    <s v="Mumbai"/>
    <s v="Maharashtra"/>
    <x v="0"/>
    <x v="2"/>
    <s v="Notebook"/>
    <x v="736"/>
    <n v="67304.820000000007"/>
    <n v="9"/>
    <n v="0.25"/>
    <n v="12980.2"/>
    <x v="6"/>
    <x v="1"/>
  </r>
  <r>
    <n v="1756"/>
    <x v="454"/>
    <d v="2024-12-14T00:00:00"/>
    <s v="C1223"/>
    <s v="Customer 181"/>
    <x v="2"/>
    <s v="Patna"/>
    <s v="Bihar"/>
    <x v="3"/>
    <x v="2"/>
    <s v="Paper"/>
    <x v="737"/>
    <n v="24115.81"/>
    <n v="3"/>
    <n v="0.3"/>
    <n v="-335.71"/>
    <x v="0"/>
    <x v="2"/>
  </r>
  <r>
    <n v="1757"/>
    <x v="478"/>
    <d v="2025-10-01T00:00:00"/>
    <s v="C1239"/>
    <s v="Customer 254"/>
    <x v="0"/>
    <s v="Mumbai"/>
    <s v="Maharashtra"/>
    <x v="0"/>
    <x v="2"/>
    <s v="Pen"/>
    <x v="738"/>
    <n v="79890.97"/>
    <n v="9"/>
    <n v="0.05"/>
    <n v="19337.009999999998"/>
    <x v="7"/>
    <x v="0"/>
  </r>
  <r>
    <n v="1758"/>
    <x v="283"/>
    <d v="2025-01-08T00:00:00"/>
    <s v="C1023"/>
    <s v="Customer 91"/>
    <x v="1"/>
    <s v="Chennai"/>
    <s v="Tamil Nadu"/>
    <x v="2"/>
    <x v="0"/>
    <s v="Laptop"/>
    <x v="539"/>
    <n v="77390.17"/>
    <n v="6"/>
    <n v="0.1"/>
    <n v="11067.4"/>
    <x v="3"/>
    <x v="1"/>
  </r>
  <r>
    <n v="1759"/>
    <x v="309"/>
    <d v="2024-12-04T00:00:00"/>
    <s v="C1171"/>
    <s v="Customer 272"/>
    <x v="0"/>
    <s v="Jaipur"/>
    <s v="Rajasthan"/>
    <x v="1"/>
    <x v="1"/>
    <s v="Sofa"/>
    <x v="739"/>
    <n v="49384.7"/>
    <n v="3"/>
    <n v="0.1"/>
    <n v="7807.47"/>
    <x v="7"/>
    <x v="0"/>
  </r>
  <r>
    <n v="1760"/>
    <x v="476"/>
    <d v="2024-01-13T00:00:00"/>
    <s v="C1202"/>
    <s v="Customer 89"/>
    <x v="1"/>
    <s v="Bhubaneswar"/>
    <s v="Odisha"/>
    <x v="3"/>
    <x v="2"/>
    <s v="Pen"/>
    <x v="740"/>
    <n v="10425.450000000001"/>
    <n v="9"/>
    <n v="0.2"/>
    <n v="1003.6"/>
    <x v="3"/>
    <x v="0"/>
  </r>
  <r>
    <n v="1761"/>
    <x v="483"/>
    <d v="2025-05-22T00:00:00"/>
    <s v="C1278"/>
    <s v="Customer 30"/>
    <x v="0"/>
    <s v="Hyderabad"/>
    <s v="Telangana"/>
    <x v="2"/>
    <x v="1"/>
    <s v="Table"/>
    <x v="244"/>
    <n v="71669.789999999994"/>
    <n v="6"/>
    <n v="0.2"/>
    <n v="12077.03"/>
    <x v="2"/>
    <x v="3"/>
  </r>
  <r>
    <n v="1762"/>
    <x v="216"/>
    <d v="2025-06-26T00:00:00"/>
    <s v="C1228"/>
    <s v="Customer 147"/>
    <x v="2"/>
    <s v="Bengaluru"/>
    <s v="Karnataka"/>
    <x v="2"/>
    <x v="2"/>
    <s v="Pen"/>
    <x v="741"/>
    <n v="10453.81"/>
    <n v="9"/>
    <n v="0.15"/>
    <n v="1237.27"/>
    <x v="0"/>
    <x v="3"/>
  </r>
  <r>
    <n v="1763"/>
    <x v="484"/>
    <d v="2024-02-14T00:00:00"/>
    <s v="C1072"/>
    <s v="Customer 198"/>
    <x v="0"/>
    <s v="Kolkata"/>
    <s v="West Bengal"/>
    <x v="3"/>
    <x v="2"/>
    <s v="Pen"/>
    <x v="742"/>
    <n v="37534.639999999999"/>
    <n v="1"/>
    <n v="0.3"/>
    <n v="3496.71"/>
    <x v="2"/>
    <x v="2"/>
  </r>
  <r>
    <n v="1764"/>
    <x v="440"/>
    <d v="2024-07-12T00:00:00"/>
    <s v="C1073"/>
    <s v="Customer 184"/>
    <x v="2"/>
    <s v="Ahmedabad"/>
    <s v="Gujarat"/>
    <x v="0"/>
    <x v="0"/>
    <s v="Monitor"/>
    <x v="743"/>
    <n v="86410.28"/>
    <n v="5"/>
    <n v="0.3"/>
    <n v="5552.2"/>
    <x v="6"/>
    <x v="2"/>
  </r>
  <r>
    <n v="1765"/>
    <x v="485"/>
    <d v="2024-09-10T00:00:00"/>
    <s v="C1013"/>
    <s v="Customer 109"/>
    <x v="0"/>
    <s v="Lucknow"/>
    <s v="Uttar Pradesh"/>
    <x v="1"/>
    <x v="2"/>
    <s v="Binder"/>
    <x v="744"/>
    <n v="47683.13"/>
    <n v="8"/>
    <n v="0.1"/>
    <n v="8222.58"/>
    <x v="1"/>
    <x v="1"/>
  </r>
  <r>
    <n v="1766"/>
    <x v="481"/>
    <d v="2024-11-18T00:00:00"/>
    <s v="C1160"/>
    <s v="Customer 187"/>
    <x v="0"/>
    <s v="Ahmedabad"/>
    <s v="Gujarat"/>
    <x v="0"/>
    <x v="1"/>
    <s v="Sofa"/>
    <x v="252"/>
    <n v="87657.07"/>
    <n v="9"/>
    <n v="0.05"/>
    <n v="11816.99"/>
    <x v="0"/>
    <x v="2"/>
  </r>
  <r>
    <n v="1767"/>
    <x v="293"/>
    <d v="2024-09-22T00:00:00"/>
    <s v="C1194"/>
    <s v="Customer 292"/>
    <x v="2"/>
    <s v="Hyderabad"/>
    <s v="Telangana"/>
    <x v="2"/>
    <x v="0"/>
    <s v="Phone"/>
    <x v="745"/>
    <n v="21155.09"/>
    <n v="1"/>
    <n v="0.3"/>
    <n v="3660.66"/>
    <x v="4"/>
    <x v="3"/>
  </r>
  <r>
    <n v="1768"/>
    <x v="180"/>
    <d v="2025-06-03T00:00:00"/>
    <s v="C1269"/>
    <s v="Customer 31"/>
    <x v="2"/>
    <s v="Jaipur"/>
    <s v="Rajasthan"/>
    <x v="1"/>
    <x v="2"/>
    <s v="Paper"/>
    <x v="746"/>
    <n v="15884.23"/>
    <n v="5"/>
    <n v="0.15"/>
    <n v="1340.89"/>
    <x v="2"/>
    <x v="1"/>
  </r>
  <r>
    <n v="1769"/>
    <x v="481"/>
    <d v="2024-11-18T00:00:00"/>
    <s v="C1279"/>
    <s v="Customer 153"/>
    <x v="2"/>
    <s v="Delhi"/>
    <s v="Delhi"/>
    <x v="1"/>
    <x v="1"/>
    <s v="Sofa"/>
    <x v="747"/>
    <n v="46717.99"/>
    <n v="7"/>
    <n v="0.3"/>
    <n v="911.52"/>
    <x v="6"/>
    <x v="1"/>
  </r>
  <r>
    <n v="1770"/>
    <x v="94"/>
    <d v="2025-04-01T00:00:00"/>
    <s v="C1201"/>
    <s v="Customer 108"/>
    <x v="0"/>
    <s v="Hyderabad"/>
    <s v="Telangana"/>
    <x v="2"/>
    <x v="1"/>
    <s v="Table"/>
    <x v="748"/>
    <n v="40158.33"/>
    <n v="2"/>
    <n v="0.25"/>
    <n v="1394.69"/>
    <x v="3"/>
    <x v="1"/>
  </r>
  <r>
    <n v="1771"/>
    <x v="486"/>
    <d v="2024-04-05T00:00:00"/>
    <s v="C1242"/>
    <s v="Customer 268"/>
    <x v="0"/>
    <s v="Bengaluru"/>
    <s v="Karnataka"/>
    <x v="2"/>
    <x v="2"/>
    <s v="Binder"/>
    <x v="749"/>
    <n v="73842.12"/>
    <n v="1"/>
    <n v="0"/>
    <n v="15555.9"/>
    <x v="6"/>
    <x v="2"/>
  </r>
  <r>
    <n v="1772"/>
    <x v="487"/>
    <d v="2024-10-15T00:00:00"/>
    <s v="C1173"/>
    <s v="Customer 202"/>
    <x v="0"/>
    <s v="Chennai"/>
    <s v="Tamil Nadu"/>
    <x v="2"/>
    <x v="2"/>
    <s v="Pen"/>
    <x v="750"/>
    <n v="49777.86"/>
    <n v="4"/>
    <n v="0.05"/>
    <n v="5299.38"/>
    <x v="1"/>
    <x v="3"/>
  </r>
  <r>
    <n v="1773"/>
    <x v="488"/>
    <d v="2024-10-14T00:00:00"/>
    <s v="C1283"/>
    <s v="Customer 164"/>
    <x v="2"/>
    <s v="Jaipur"/>
    <s v="Rajasthan"/>
    <x v="1"/>
    <x v="0"/>
    <s v="Monitor"/>
    <x v="751"/>
    <n v="54007.87"/>
    <n v="8"/>
    <n v="0.2"/>
    <n v="2332.2399999999998"/>
    <x v="6"/>
    <x v="0"/>
  </r>
  <r>
    <n v="1774"/>
    <x v="167"/>
    <d v="2025-05-09T00:00:00"/>
    <s v="C1169"/>
    <s v="Customer 261"/>
    <x v="0"/>
    <s v="Patna"/>
    <s v="Bihar"/>
    <x v="3"/>
    <x v="1"/>
    <s v="Table"/>
    <x v="752"/>
    <n v="15639.09"/>
    <n v="6"/>
    <n v="0"/>
    <n v="4366.97"/>
    <x v="4"/>
    <x v="1"/>
  </r>
  <r>
    <n v="1775"/>
    <x v="489"/>
    <d v="2025-03-14T00:00:00"/>
    <s v="C1269"/>
    <s v="Customer 57"/>
    <x v="0"/>
    <s v="Jaipur"/>
    <s v="Rajasthan"/>
    <x v="1"/>
    <x v="1"/>
    <s v="Table"/>
    <x v="753"/>
    <n v="86416.61"/>
    <n v="1"/>
    <n v="0.25"/>
    <n v="-1475.04"/>
    <x v="0"/>
    <x v="0"/>
  </r>
  <r>
    <n v="1776"/>
    <x v="490"/>
    <d v="2024-07-25T00:00:00"/>
    <s v="C1157"/>
    <s v="Customer 60"/>
    <x v="0"/>
    <s v="Ahmedabad"/>
    <s v="Gujarat"/>
    <x v="0"/>
    <x v="0"/>
    <s v="Phone"/>
    <x v="754"/>
    <n v="2647.06"/>
    <n v="3"/>
    <n v="0.1"/>
    <n v="523.63"/>
    <x v="5"/>
    <x v="3"/>
  </r>
  <r>
    <n v="1777"/>
    <x v="50"/>
    <d v="2024-12-18T00:00:00"/>
    <s v="C1255"/>
    <s v="Customer 194"/>
    <x v="2"/>
    <s v="Kolkata"/>
    <s v="West Bengal"/>
    <x v="3"/>
    <x v="2"/>
    <s v="Binder"/>
    <x v="755"/>
    <n v="30651.58"/>
    <n v="10"/>
    <n v="0.1"/>
    <n v="7789.8"/>
    <x v="2"/>
    <x v="3"/>
  </r>
  <r>
    <n v="1778"/>
    <x v="434"/>
    <d v="2024-09-19T00:00:00"/>
    <s v="C1072"/>
    <s v="Customer 295"/>
    <x v="2"/>
    <s v="Hyderabad"/>
    <s v="Telangana"/>
    <x v="2"/>
    <x v="2"/>
    <s v="Paper"/>
    <x v="756"/>
    <n v="80943.960000000006"/>
    <n v="6"/>
    <n v="0.3"/>
    <n v="9385.0400000000009"/>
    <x v="3"/>
    <x v="2"/>
  </r>
  <r>
    <n v="1779"/>
    <x v="6"/>
    <d v="2024-11-10T00:00:00"/>
    <s v="C1279"/>
    <s v="Customer 6"/>
    <x v="0"/>
    <s v="Kolkata"/>
    <s v="West Bengal"/>
    <x v="3"/>
    <x v="1"/>
    <s v="Bookcase"/>
    <x v="757"/>
    <n v="49245.04"/>
    <n v="5"/>
    <n v="0.3"/>
    <n v="7949.09"/>
    <x v="4"/>
    <x v="2"/>
  </r>
  <r>
    <n v="1780"/>
    <x v="441"/>
    <d v="2025-03-12T00:00:00"/>
    <s v="C1045"/>
    <s v="Customer 22"/>
    <x v="1"/>
    <s v="Ahmedabad"/>
    <s v="Gujarat"/>
    <x v="0"/>
    <x v="0"/>
    <s v="Keyboard"/>
    <x v="758"/>
    <n v="41094.69"/>
    <n v="6"/>
    <n v="0.1"/>
    <n v="8058.31"/>
    <x v="5"/>
    <x v="1"/>
  </r>
  <r>
    <n v="1781"/>
    <x v="214"/>
    <d v="2025-02-17T00:00:00"/>
    <s v="C1293"/>
    <s v="Customer 8"/>
    <x v="0"/>
    <s v="Kolkata"/>
    <s v="West Bengal"/>
    <x v="3"/>
    <x v="1"/>
    <s v="Table"/>
    <x v="759"/>
    <n v="67778.09"/>
    <n v="5"/>
    <n v="0.3"/>
    <n v="1531.71"/>
    <x v="7"/>
    <x v="2"/>
  </r>
  <r>
    <n v="1782"/>
    <x v="355"/>
    <d v="2025-01-05T00:00:00"/>
    <s v="C1266"/>
    <s v="Customer 33"/>
    <x v="1"/>
    <s v="Lucknow"/>
    <s v="Uttar Pradesh"/>
    <x v="1"/>
    <x v="0"/>
    <s v="Monitor"/>
    <x v="760"/>
    <n v="6308.45"/>
    <n v="7"/>
    <n v="0.05"/>
    <n v="1155.43"/>
    <x v="4"/>
    <x v="3"/>
  </r>
  <r>
    <n v="1783"/>
    <x v="10"/>
    <d v="2025-03-26T00:00:00"/>
    <s v="C1221"/>
    <s v="Customer 112"/>
    <x v="0"/>
    <s v="Hyderabad"/>
    <s v="Telangana"/>
    <x v="2"/>
    <x v="1"/>
    <s v="Chair"/>
    <x v="761"/>
    <n v="34281.800000000003"/>
    <n v="4"/>
    <n v="0.15"/>
    <n v="8143.7"/>
    <x v="7"/>
    <x v="1"/>
  </r>
  <r>
    <n v="1784"/>
    <x v="491"/>
    <d v="2025-10-28T00:00:00"/>
    <s v="C1095"/>
    <s v="Customer 157"/>
    <x v="1"/>
    <s v="Kolkata"/>
    <s v="West Bengal"/>
    <x v="3"/>
    <x v="1"/>
    <s v="Chair"/>
    <x v="762"/>
    <n v="25658.01"/>
    <n v="9"/>
    <n v="0.2"/>
    <n v="2720.88"/>
    <x v="5"/>
    <x v="2"/>
  </r>
  <r>
    <n v="1785"/>
    <x v="230"/>
    <d v="2024-12-21T00:00:00"/>
    <s v="C1251"/>
    <s v="Customer 69"/>
    <x v="0"/>
    <s v="Ahmedabad"/>
    <s v="Gujarat"/>
    <x v="0"/>
    <x v="1"/>
    <s v="Bookcase"/>
    <x v="763"/>
    <n v="58812.12"/>
    <n v="8"/>
    <n v="0.25"/>
    <n v="2639.61"/>
    <x v="3"/>
    <x v="3"/>
  </r>
  <r>
    <n v="1786"/>
    <x v="235"/>
    <d v="2025-02-19T00:00:00"/>
    <s v="C1159"/>
    <s v="Customer 273"/>
    <x v="0"/>
    <s v="Chennai"/>
    <s v="Tamil Nadu"/>
    <x v="2"/>
    <x v="0"/>
    <s v="Keyboard"/>
    <x v="764"/>
    <n v="81891.039999999994"/>
    <n v="1"/>
    <n v="0.15"/>
    <n v="7385.67"/>
    <x v="5"/>
    <x v="0"/>
  </r>
  <r>
    <n v="1787"/>
    <x v="492"/>
    <d v="2025-06-02T00:00:00"/>
    <s v="C1256"/>
    <s v="Customer 114"/>
    <x v="2"/>
    <s v="Mumbai"/>
    <s v="Maharashtra"/>
    <x v="0"/>
    <x v="1"/>
    <s v="Table"/>
    <x v="765"/>
    <n v="54301.41"/>
    <n v="7"/>
    <n v="0.25"/>
    <n v="8958.77"/>
    <x v="3"/>
    <x v="1"/>
  </r>
  <r>
    <n v="1788"/>
    <x v="162"/>
    <d v="2024-02-19T00:00:00"/>
    <s v="C1016"/>
    <s v="Customer 114"/>
    <x v="1"/>
    <s v="Delhi"/>
    <s v="Delhi"/>
    <x v="1"/>
    <x v="2"/>
    <s v="Binder"/>
    <x v="766"/>
    <n v="70608.399999999994"/>
    <n v="3"/>
    <n v="0.25"/>
    <n v="8694.92"/>
    <x v="2"/>
    <x v="3"/>
  </r>
  <r>
    <n v="1789"/>
    <x v="301"/>
    <d v="2025-09-08T00:00:00"/>
    <s v="C1162"/>
    <s v="Customer 115"/>
    <x v="1"/>
    <s v="Jaipur"/>
    <s v="Rajasthan"/>
    <x v="1"/>
    <x v="2"/>
    <s v="Binder"/>
    <x v="767"/>
    <n v="81522.77"/>
    <n v="4"/>
    <n v="0.1"/>
    <n v="5518.64"/>
    <x v="3"/>
    <x v="2"/>
  </r>
  <r>
    <n v="1790"/>
    <x v="312"/>
    <d v="2025-08-24T00:00:00"/>
    <s v="C1191"/>
    <s v="Customer 144"/>
    <x v="0"/>
    <s v="Kolkata"/>
    <s v="West Bengal"/>
    <x v="3"/>
    <x v="1"/>
    <s v="Table"/>
    <x v="768"/>
    <n v="80311.94"/>
    <n v="6"/>
    <n v="0.3"/>
    <n v="867.53"/>
    <x v="3"/>
    <x v="2"/>
  </r>
  <r>
    <n v="1791"/>
    <x v="475"/>
    <d v="2024-07-04T00:00:00"/>
    <s v="C1087"/>
    <s v="Customer 291"/>
    <x v="2"/>
    <s v="Ahmedabad"/>
    <s v="Gujarat"/>
    <x v="0"/>
    <x v="1"/>
    <s v="Table"/>
    <x v="769"/>
    <n v="11638.35"/>
    <n v="9"/>
    <n v="0"/>
    <n v="2960.37"/>
    <x v="1"/>
    <x v="0"/>
  </r>
  <r>
    <n v="1792"/>
    <x v="493"/>
    <d v="2024-04-03T00:00:00"/>
    <s v="C1120"/>
    <s v="Customer 243"/>
    <x v="0"/>
    <s v="Ahmedabad"/>
    <s v="Gujarat"/>
    <x v="0"/>
    <x v="1"/>
    <s v="Bookcase"/>
    <x v="770"/>
    <n v="62693.27"/>
    <n v="8"/>
    <n v="0.15"/>
    <n v="12897.08"/>
    <x v="3"/>
    <x v="1"/>
  </r>
  <r>
    <n v="1793"/>
    <x v="494"/>
    <d v="2024-03-12T00:00:00"/>
    <s v="C1083"/>
    <s v="Customer 149"/>
    <x v="1"/>
    <s v="Mumbai"/>
    <s v="Maharashtra"/>
    <x v="0"/>
    <x v="1"/>
    <s v="Sofa"/>
    <x v="771"/>
    <n v="9437.02"/>
    <n v="5"/>
    <n v="0.2"/>
    <n v="1536.47"/>
    <x v="0"/>
    <x v="2"/>
  </r>
  <r>
    <n v="1794"/>
    <x v="103"/>
    <d v="2024-06-25T00:00:00"/>
    <s v="C1208"/>
    <s v="Customer 145"/>
    <x v="0"/>
    <s v="Bhubaneswar"/>
    <s v="Odisha"/>
    <x v="3"/>
    <x v="1"/>
    <s v="Sofa"/>
    <x v="772"/>
    <n v="67927.899999999994"/>
    <n v="9"/>
    <n v="0.15"/>
    <n v="14444.94"/>
    <x v="4"/>
    <x v="0"/>
  </r>
  <r>
    <n v="1795"/>
    <x v="495"/>
    <d v="2025-08-09T00:00:00"/>
    <s v="C1203"/>
    <s v="Customer 38"/>
    <x v="1"/>
    <s v="Mumbai"/>
    <s v="Maharashtra"/>
    <x v="0"/>
    <x v="1"/>
    <s v="Chair"/>
    <x v="773"/>
    <n v="44591.1"/>
    <n v="1"/>
    <n v="0.1"/>
    <n v="11452.21"/>
    <x v="4"/>
    <x v="2"/>
  </r>
  <r>
    <n v="1796"/>
    <x v="52"/>
    <d v="2025-01-27T00:00:00"/>
    <s v="C1235"/>
    <s v="Customer 181"/>
    <x v="2"/>
    <s v="Jaipur"/>
    <s v="Rajasthan"/>
    <x v="1"/>
    <x v="1"/>
    <s v="Sofa"/>
    <x v="774"/>
    <n v="51804.63"/>
    <n v="9"/>
    <n v="0.05"/>
    <n v="5101.3500000000004"/>
    <x v="5"/>
    <x v="3"/>
  </r>
  <r>
    <n v="1797"/>
    <x v="266"/>
    <d v="2024-03-25T00:00:00"/>
    <s v="C1072"/>
    <s v="Customer 203"/>
    <x v="0"/>
    <s v="Delhi"/>
    <s v="Delhi"/>
    <x v="1"/>
    <x v="2"/>
    <s v="Binder"/>
    <x v="775"/>
    <n v="44344.29"/>
    <n v="2"/>
    <n v="0.3"/>
    <n v="7241.2"/>
    <x v="0"/>
    <x v="0"/>
  </r>
  <r>
    <n v="1798"/>
    <x v="41"/>
    <d v="2025-05-13T00:00:00"/>
    <s v="C1291"/>
    <s v="Customer 180"/>
    <x v="0"/>
    <s v="Jaipur"/>
    <s v="Rajasthan"/>
    <x v="1"/>
    <x v="1"/>
    <s v="Table"/>
    <x v="776"/>
    <n v="8975.7900000000009"/>
    <n v="2"/>
    <n v="0.2"/>
    <n v="259.58999999999997"/>
    <x v="6"/>
    <x v="0"/>
  </r>
  <r>
    <n v="1799"/>
    <x v="257"/>
    <d v="2024-09-11T00:00:00"/>
    <s v="C1151"/>
    <s v="Customer 101"/>
    <x v="1"/>
    <s v="Lucknow"/>
    <s v="Uttar Pradesh"/>
    <x v="1"/>
    <x v="2"/>
    <s v="Storage"/>
    <x v="777"/>
    <n v="22551.66"/>
    <n v="8"/>
    <n v="0.25"/>
    <n v="796.96"/>
    <x v="3"/>
    <x v="2"/>
  </r>
  <r>
    <n v="1800"/>
    <x v="60"/>
    <d v="2024-12-09T00:00:00"/>
    <s v="C1297"/>
    <s v="Customer 4"/>
    <x v="2"/>
    <s v="Lucknow"/>
    <s v="Uttar Pradesh"/>
    <x v="1"/>
    <x v="0"/>
    <s v="Laptop"/>
    <x v="778"/>
    <n v="14194.62"/>
    <n v="10"/>
    <n v="0.3"/>
    <n v="932.35"/>
    <x v="1"/>
    <x v="3"/>
  </r>
  <r>
    <n v="1801"/>
    <x v="310"/>
    <d v="2024-04-25T00:00:00"/>
    <s v="C1294"/>
    <s v="Customer 201"/>
    <x v="0"/>
    <s v="Ahmedabad"/>
    <s v="Gujarat"/>
    <x v="0"/>
    <x v="1"/>
    <s v="Sofa"/>
    <x v="779"/>
    <n v="58751.54"/>
    <n v="4"/>
    <n v="0.3"/>
    <n v="-2291.9"/>
    <x v="7"/>
    <x v="1"/>
  </r>
  <r>
    <n v="1802"/>
    <x v="496"/>
    <d v="2024-11-16T00:00:00"/>
    <s v="C1007"/>
    <s v="Customer 174"/>
    <x v="2"/>
    <s v="Delhi"/>
    <s v="Delhi"/>
    <x v="1"/>
    <x v="0"/>
    <s v="Phone"/>
    <x v="780"/>
    <n v="40467.11"/>
    <n v="1"/>
    <n v="0.3"/>
    <n v="181.23"/>
    <x v="0"/>
    <x v="3"/>
  </r>
  <r>
    <n v="1803"/>
    <x v="455"/>
    <d v="2024-02-04T00:00:00"/>
    <s v="C1214"/>
    <s v="Customer 7"/>
    <x v="2"/>
    <s v="Hyderabad"/>
    <s v="Telangana"/>
    <x v="2"/>
    <x v="2"/>
    <s v="Storage"/>
    <x v="781"/>
    <n v="22722.71"/>
    <n v="3"/>
    <n v="0.25"/>
    <n v="4200.8999999999996"/>
    <x v="2"/>
    <x v="1"/>
  </r>
  <r>
    <n v="1804"/>
    <x v="497"/>
    <d v="2025-04-04T00:00:00"/>
    <s v="C1191"/>
    <s v="Customer 58"/>
    <x v="1"/>
    <s v="Pune"/>
    <s v="Maharashtra"/>
    <x v="0"/>
    <x v="2"/>
    <s v="Notebook"/>
    <x v="782"/>
    <n v="50166.1"/>
    <n v="4"/>
    <n v="0.2"/>
    <n v="7759.63"/>
    <x v="5"/>
    <x v="3"/>
  </r>
  <r>
    <n v="1805"/>
    <x v="203"/>
    <d v="2024-05-24T00:00:00"/>
    <s v="C1280"/>
    <s v="Customer 221"/>
    <x v="2"/>
    <s v="Ahmedabad"/>
    <s v="Gujarat"/>
    <x v="0"/>
    <x v="0"/>
    <s v="Mouse"/>
    <x v="783"/>
    <n v="42721.98"/>
    <n v="1"/>
    <n v="0.2"/>
    <n v="2393.08"/>
    <x v="2"/>
    <x v="3"/>
  </r>
  <r>
    <n v="1806"/>
    <x v="314"/>
    <d v="2024-05-06T00:00:00"/>
    <s v="C1166"/>
    <s v="Customer 203"/>
    <x v="1"/>
    <s v="Patna"/>
    <s v="Bihar"/>
    <x v="3"/>
    <x v="0"/>
    <s v="Laptop"/>
    <x v="784"/>
    <n v="79832.27"/>
    <n v="5"/>
    <n v="0.3"/>
    <n v="11388.42"/>
    <x v="7"/>
    <x v="0"/>
  </r>
  <r>
    <n v="1807"/>
    <x v="281"/>
    <d v="2024-02-05T00:00:00"/>
    <s v="C1061"/>
    <s v="Customer 42"/>
    <x v="1"/>
    <s v="Mumbai"/>
    <s v="Maharashtra"/>
    <x v="0"/>
    <x v="0"/>
    <s v="Keyboard"/>
    <x v="785"/>
    <n v="57566.74"/>
    <n v="1"/>
    <n v="0.15"/>
    <n v="13744.57"/>
    <x v="6"/>
    <x v="2"/>
  </r>
  <r>
    <n v="1808"/>
    <x v="498"/>
    <d v="2024-10-22T00:00:00"/>
    <s v="C1067"/>
    <s v="Customer 294"/>
    <x v="1"/>
    <s v="Bengaluru"/>
    <s v="Karnataka"/>
    <x v="2"/>
    <x v="1"/>
    <s v="Sofa"/>
    <x v="786"/>
    <n v="47737.94"/>
    <n v="10"/>
    <n v="0.2"/>
    <n v="6439.45"/>
    <x v="4"/>
    <x v="0"/>
  </r>
  <r>
    <n v="1809"/>
    <x v="132"/>
    <d v="2024-03-23T00:00:00"/>
    <s v="C1208"/>
    <s v="Customer 143"/>
    <x v="2"/>
    <s v="Ahmedabad"/>
    <s v="Gujarat"/>
    <x v="0"/>
    <x v="1"/>
    <s v="Bookcase"/>
    <x v="787"/>
    <n v="8471.91"/>
    <n v="8"/>
    <n v="0.3"/>
    <n v="201.54"/>
    <x v="0"/>
    <x v="3"/>
  </r>
  <r>
    <n v="1810"/>
    <x v="499"/>
    <d v="2024-11-12T00:00:00"/>
    <s v="C1021"/>
    <s v="Customer 41"/>
    <x v="2"/>
    <s v="Chennai"/>
    <s v="Tamil Nadu"/>
    <x v="2"/>
    <x v="0"/>
    <s v="Keyboard"/>
    <x v="788"/>
    <n v="74664.2"/>
    <n v="2"/>
    <n v="0.3"/>
    <n v="12313.9"/>
    <x v="7"/>
    <x v="3"/>
  </r>
  <r>
    <n v="1811"/>
    <x v="316"/>
    <d v="2024-12-06T00:00:00"/>
    <s v="C1266"/>
    <s v="Customer 193"/>
    <x v="0"/>
    <s v="Lucknow"/>
    <s v="Uttar Pradesh"/>
    <x v="1"/>
    <x v="2"/>
    <s v="Notebook"/>
    <x v="789"/>
    <n v="38594.050000000003"/>
    <n v="9"/>
    <n v="0.3"/>
    <n v="3333.22"/>
    <x v="4"/>
    <x v="0"/>
  </r>
  <r>
    <n v="1812"/>
    <x v="51"/>
    <d v="2025-09-26T00:00:00"/>
    <s v="C1163"/>
    <s v="Customer 99"/>
    <x v="1"/>
    <s v="Pune"/>
    <s v="Maharashtra"/>
    <x v="0"/>
    <x v="1"/>
    <s v="Table"/>
    <x v="790"/>
    <n v="29329.83"/>
    <n v="2"/>
    <n v="0.25"/>
    <n v="4405.57"/>
    <x v="6"/>
    <x v="0"/>
  </r>
  <r>
    <n v="1813"/>
    <x v="458"/>
    <d v="2025-01-12T00:00:00"/>
    <s v="C1187"/>
    <s v="Customer 35"/>
    <x v="2"/>
    <s v="Kolkata"/>
    <s v="West Bengal"/>
    <x v="3"/>
    <x v="0"/>
    <s v="Keyboard"/>
    <x v="791"/>
    <n v="87926.66"/>
    <n v="7"/>
    <n v="0.3"/>
    <n v="2505.02"/>
    <x v="1"/>
    <x v="1"/>
  </r>
  <r>
    <n v="1814"/>
    <x v="496"/>
    <d v="2024-11-18T00:00:00"/>
    <s v="C1013"/>
    <s v="Customer 180"/>
    <x v="0"/>
    <s v="Jaipur"/>
    <s v="Rajasthan"/>
    <x v="1"/>
    <x v="0"/>
    <s v="Monitor"/>
    <x v="792"/>
    <n v="85141.42"/>
    <n v="2"/>
    <n v="0.15"/>
    <n v="4938.62"/>
    <x v="3"/>
    <x v="2"/>
  </r>
  <r>
    <n v="1815"/>
    <x v="160"/>
    <d v="2025-08-15T00:00:00"/>
    <s v="C1243"/>
    <s v="Customer 179"/>
    <x v="2"/>
    <s v="Kolkata"/>
    <s v="West Bengal"/>
    <x v="3"/>
    <x v="2"/>
    <s v="Binder"/>
    <x v="793"/>
    <n v="24003.17"/>
    <n v="6"/>
    <n v="0.05"/>
    <n v="2871.94"/>
    <x v="0"/>
    <x v="1"/>
  </r>
  <r>
    <n v="1816"/>
    <x v="291"/>
    <d v="2025-03-28T00:00:00"/>
    <s v="C1170"/>
    <s v="Customer 175"/>
    <x v="2"/>
    <s v="Lucknow"/>
    <s v="Uttar Pradesh"/>
    <x v="1"/>
    <x v="0"/>
    <s v="Laptop"/>
    <x v="426"/>
    <n v="22368.73"/>
    <n v="5"/>
    <n v="0"/>
    <n v="3985.93"/>
    <x v="3"/>
    <x v="3"/>
  </r>
  <r>
    <n v="1817"/>
    <x v="285"/>
    <d v="2024-03-04T00:00:00"/>
    <s v="C1035"/>
    <s v="Customer 283"/>
    <x v="0"/>
    <s v="Hyderabad"/>
    <s v="Telangana"/>
    <x v="2"/>
    <x v="0"/>
    <s v="Monitor"/>
    <x v="794"/>
    <n v="4026.18"/>
    <n v="5"/>
    <n v="0.1"/>
    <n v="541.89"/>
    <x v="0"/>
    <x v="3"/>
  </r>
  <r>
    <n v="1818"/>
    <x v="205"/>
    <d v="2025-04-09T00:00:00"/>
    <s v="C1177"/>
    <s v="Customer 200"/>
    <x v="2"/>
    <s v="Bengaluru"/>
    <s v="Karnataka"/>
    <x v="2"/>
    <x v="2"/>
    <s v="Binder"/>
    <x v="795"/>
    <n v="2422.2600000000002"/>
    <n v="4"/>
    <n v="0.15"/>
    <n v="319.82"/>
    <x v="7"/>
    <x v="3"/>
  </r>
  <r>
    <n v="1819"/>
    <x v="53"/>
    <d v="2024-03-19T00:00:00"/>
    <s v="C1233"/>
    <s v="Customer 153"/>
    <x v="1"/>
    <s v="Kolkata"/>
    <s v="West Bengal"/>
    <x v="3"/>
    <x v="0"/>
    <s v="Laptop"/>
    <x v="240"/>
    <n v="85509.97"/>
    <n v="4"/>
    <n v="0.3"/>
    <n v="7566.54"/>
    <x v="2"/>
    <x v="1"/>
  </r>
  <r>
    <n v="1820"/>
    <x v="52"/>
    <d v="2025-01-29T00:00:00"/>
    <s v="C1017"/>
    <s v="Customer 30"/>
    <x v="2"/>
    <s v="Pune"/>
    <s v="Maharashtra"/>
    <x v="0"/>
    <x v="1"/>
    <s v="Chair"/>
    <x v="796"/>
    <n v="52203.49"/>
    <n v="1"/>
    <n v="0.25"/>
    <n v="4740.62"/>
    <x v="3"/>
    <x v="2"/>
  </r>
  <r>
    <n v="1821"/>
    <x v="188"/>
    <d v="2025-07-21T00:00:00"/>
    <s v="C1024"/>
    <s v="Customer 85"/>
    <x v="0"/>
    <s v="Hyderabad"/>
    <s v="Telangana"/>
    <x v="2"/>
    <x v="0"/>
    <s v="Monitor"/>
    <x v="797"/>
    <n v="44150.41"/>
    <n v="3"/>
    <n v="0"/>
    <n v="5775.57"/>
    <x v="6"/>
    <x v="0"/>
  </r>
  <r>
    <n v="1822"/>
    <x v="500"/>
    <d v="2024-12-16T00:00:00"/>
    <s v="C1121"/>
    <s v="Customer 233"/>
    <x v="2"/>
    <s v="Pune"/>
    <s v="Maharashtra"/>
    <x v="0"/>
    <x v="0"/>
    <s v="Phone"/>
    <x v="798"/>
    <n v="68115.960000000006"/>
    <n v="9"/>
    <n v="0.15"/>
    <n v="12038.28"/>
    <x v="4"/>
    <x v="2"/>
  </r>
  <r>
    <n v="1823"/>
    <x v="65"/>
    <d v="2024-12-17T00:00:00"/>
    <s v="C1231"/>
    <s v="Customer 100"/>
    <x v="1"/>
    <s v="Chennai"/>
    <s v="Tamil Nadu"/>
    <x v="2"/>
    <x v="2"/>
    <s v="Storage"/>
    <x v="799"/>
    <n v="59272.07"/>
    <n v="7"/>
    <n v="0.3"/>
    <n v="8328.92"/>
    <x v="7"/>
    <x v="1"/>
  </r>
  <r>
    <n v="1824"/>
    <x v="200"/>
    <d v="2024-06-10T00:00:00"/>
    <s v="C1279"/>
    <s v="Customer 162"/>
    <x v="0"/>
    <s v="Ahmedabad"/>
    <s v="Gujarat"/>
    <x v="0"/>
    <x v="0"/>
    <s v="Monitor"/>
    <x v="208"/>
    <n v="3533.16"/>
    <n v="9"/>
    <n v="0.3"/>
    <n v="189.75"/>
    <x v="2"/>
    <x v="1"/>
  </r>
  <r>
    <n v="1825"/>
    <x v="164"/>
    <d v="2024-02-28T00:00:00"/>
    <s v="C1042"/>
    <s v="Customer 18"/>
    <x v="1"/>
    <s v="Hyderabad"/>
    <s v="Telangana"/>
    <x v="2"/>
    <x v="0"/>
    <s v="Monitor"/>
    <x v="800"/>
    <n v="72697.149999999994"/>
    <n v="2"/>
    <n v="0.3"/>
    <n v="6571.45"/>
    <x v="1"/>
    <x v="2"/>
  </r>
  <r>
    <n v="1826"/>
    <x v="501"/>
    <d v="2025-01-18T00:00:00"/>
    <s v="C1254"/>
    <s v="Customer 232"/>
    <x v="2"/>
    <s v="Bengaluru"/>
    <s v="Karnataka"/>
    <x v="2"/>
    <x v="1"/>
    <s v="Sofa"/>
    <x v="801"/>
    <n v="86319.49"/>
    <n v="7"/>
    <n v="0.1"/>
    <n v="22409.95"/>
    <x v="7"/>
    <x v="1"/>
  </r>
  <r>
    <n v="1827"/>
    <x v="334"/>
    <d v="2025-03-29T00:00:00"/>
    <s v="C1070"/>
    <s v="Customer 237"/>
    <x v="1"/>
    <s v="Bengaluru"/>
    <s v="Karnataka"/>
    <x v="2"/>
    <x v="1"/>
    <s v="Chair"/>
    <x v="513"/>
    <n v="49916.61"/>
    <n v="4"/>
    <n v="0.15"/>
    <n v="2774.82"/>
    <x v="2"/>
    <x v="3"/>
  </r>
  <r>
    <n v="1828"/>
    <x v="399"/>
    <d v="2025-04-07T00:00:00"/>
    <s v="C1228"/>
    <s v="Customer 1"/>
    <x v="1"/>
    <s v="Jaipur"/>
    <s v="Rajasthan"/>
    <x v="1"/>
    <x v="0"/>
    <s v="Mouse"/>
    <x v="802"/>
    <n v="84344.01"/>
    <n v="2"/>
    <n v="0.15"/>
    <n v="6534.09"/>
    <x v="2"/>
    <x v="3"/>
  </r>
  <r>
    <n v="1829"/>
    <x v="312"/>
    <d v="2025-08-24T00:00:00"/>
    <s v="C1261"/>
    <s v="Customer 272"/>
    <x v="2"/>
    <s v="Bengaluru"/>
    <s v="Karnataka"/>
    <x v="2"/>
    <x v="0"/>
    <s v="Keyboard"/>
    <x v="803"/>
    <n v="26531.11"/>
    <n v="5"/>
    <n v="0.1"/>
    <n v="1537.56"/>
    <x v="2"/>
    <x v="1"/>
  </r>
  <r>
    <n v="1830"/>
    <x v="502"/>
    <d v="2024-04-08T00:00:00"/>
    <s v="C1087"/>
    <s v="Customer 220"/>
    <x v="2"/>
    <s v="Lucknow"/>
    <s v="Uttar Pradesh"/>
    <x v="1"/>
    <x v="1"/>
    <s v="Sofa"/>
    <x v="804"/>
    <n v="28516.76"/>
    <n v="6"/>
    <n v="0.1"/>
    <n v="7246.42"/>
    <x v="3"/>
    <x v="3"/>
  </r>
  <r>
    <n v="1831"/>
    <x v="4"/>
    <d v="2024-07-16T00:00:00"/>
    <s v="C1235"/>
    <s v="Customer 150"/>
    <x v="1"/>
    <s v="Jaipur"/>
    <s v="Rajasthan"/>
    <x v="1"/>
    <x v="2"/>
    <s v="Paper"/>
    <x v="805"/>
    <n v="74734.62"/>
    <n v="4"/>
    <n v="0.25"/>
    <n v="10544"/>
    <x v="0"/>
    <x v="1"/>
  </r>
  <r>
    <n v="1832"/>
    <x v="503"/>
    <d v="2025-12-27T00:00:00"/>
    <s v="C1296"/>
    <s v="Customer 248"/>
    <x v="1"/>
    <s v="Bengaluru"/>
    <s v="Karnataka"/>
    <x v="2"/>
    <x v="2"/>
    <s v="Notebook"/>
    <x v="806"/>
    <n v="15929.66"/>
    <n v="10"/>
    <n v="0.25"/>
    <n v="1103.0999999999999"/>
    <x v="0"/>
    <x v="2"/>
  </r>
  <r>
    <n v="1833"/>
    <x v="452"/>
    <d v="2025-11-11T00:00:00"/>
    <s v="C1187"/>
    <s v="Customer 34"/>
    <x v="2"/>
    <s v="Chennai"/>
    <s v="Tamil Nadu"/>
    <x v="2"/>
    <x v="2"/>
    <s v="Paper"/>
    <x v="807"/>
    <n v="49277.97"/>
    <n v="8"/>
    <n v="0.1"/>
    <n v="3547.61"/>
    <x v="6"/>
    <x v="1"/>
  </r>
  <r>
    <n v="1834"/>
    <x v="222"/>
    <d v="2025-06-01T00:00:00"/>
    <s v="C1068"/>
    <s v="Customer 132"/>
    <x v="2"/>
    <s v="Kolkata"/>
    <s v="West Bengal"/>
    <x v="3"/>
    <x v="0"/>
    <s v="Laptop"/>
    <x v="808"/>
    <n v="16629.48"/>
    <n v="2"/>
    <n v="0.1"/>
    <n v="2419.1"/>
    <x v="2"/>
    <x v="1"/>
  </r>
  <r>
    <n v="1835"/>
    <x v="211"/>
    <d v="2024-09-07T00:00:00"/>
    <s v="C1203"/>
    <s v="Customer 104"/>
    <x v="2"/>
    <s v="Hyderabad"/>
    <s v="Telangana"/>
    <x v="2"/>
    <x v="1"/>
    <s v="Table"/>
    <x v="809"/>
    <n v="12966.27"/>
    <n v="5"/>
    <n v="0.2"/>
    <n v="2838.28"/>
    <x v="1"/>
    <x v="3"/>
  </r>
  <r>
    <n v="1836"/>
    <x v="114"/>
    <d v="2024-08-21T00:00:00"/>
    <s v="C1234"/>
    <s v="Customer 59"/>
    <x v="1"/>
    <s v="Patna"/>
    <s v="Bihar"/>
    <x v="3"/>
    <x v="0"/>
    <s v="Phone"/>
    <x v="810"/>
    <n v="17037.849999999999"/>
    <n v="5"/>
    <n v="0.2"/>
    <n v="3041.27"/>
    <x v="5"/>
    <x v="1"/>
  </r>
  <r>
    <n v="1837"/>
    <x v="411"/>
    <d v="2024-02-09T00:00:00"/>
    <s v="C1036"/>
    <s v="Customer 282"/>
    <x v="1"/>
    <s v="Ahmedabad"/>
    <s v="Gujarat"/>
    <x v="0"/>
    <x v="2"/>
    <s v="Storage"/>
    <x v="811"/>
    <n v="63304.24"/>
    <n v="2"/>
    <n v="0.3"/>
    <n v="10507.29"/>
    <x v="6"/>
    <x v="3"/>
  </r>
  <r>
    <n v="1838"/>
    <x v="78"/>
    <d v="2024-03-04T00:00:00"/>
    <s v="C1075"/>
    <s v="Customer 284"/>
    <x v="0"/>
    <s v="Jaipur"/>
    <s v="Rajasthan"/>
    <x v="1"/>
    <x v="1"/>
    <s v="Table"/>
    <x v="812"/>
    <n v="68834.25"/>
    <n v="6"/>
    <n v="0.25"/>
    <n v="12086.05"/>
    <x v="7"/>
    <x v="1"/>
  </r>
  <r>
    <n v="1839"/>
    <x v="504"/>
    <d v="2024-04-12T00:00:00"/>
    <s v="C1087"/>
    <s v="Customer 151"/>
    <x v="1"/>
    <s v="Bhubaneswar"/>
    <s v="Odisha"/>
    <x v="3"/>
    <x v="2"/>
    <s v="Pen"/>
    <x v="813"/>
    <n v="13257.68"/>
    <n v="2"/>
    <n v="0.25"/>
    <n v="652.41999999999996"/>
    <x v="6"/>
    <x v="3"/>
  </r>
  <r>
    <n v="1840"/>
    <x v="505"/>
    <d v="2025-08-22T00:00:00"/>
    <s v="C1130"/>
    <s v="Customer 266"/>
    <x v="0"/>
    <s v="Delhi"/>
    <s v="Delhi"/>
    <x v="1"/>
    <x v="1"/>
    <s v="Bookcase"/>
    <x v="814"/>
    <n v="26870.98"/>
    <n v="2"/>
    <n v="0"/>
    <n v="4327.87"/>
    <x v="1"/>
    <x v="3"/>
  </r>
  <r>
    <n v="1841"/>
    <x v="506"/>
    <d v="2025-02-25T00:00:00"/>
    <s v="C1292"/>
    <s v="Customer 73"/>
    <x v="1"/>
    <s v="Lucknow"/>
    <s v="Uttar Pradesh"/>
    <x v="1"/>
    <x v="1"/>
    <s v="Table"/>
    <x v="815"/>
    <n v="59664.25"/>
    <n v="2"/>
    <n v="0.05"/>
    <n v="7347.63"/>
    <x v="4"/>
    <x v="2"/>
  </r>
  <r>
    <n v="1842"/>
    <x v="326"/>
    <d v="2025-01-31T00:00:00"/>
    <s v="C1140"/>
    <s v="Customer 60"/>
    <x v="1"/>
    <s v="Pune"/>
    <s v="Maharashtra"/>
    <x v="0"/>
    <x v="0"/>
    <s v="Monitor"/>
    <x v="816"/>
    <n v="46987.27"/>
    <n v="3"/>
    <n v="0"/>
    <n v="10900.71"/>
    <x v="6"/>
    <x v="2"/>
  </r>
  <r>
    <n v="1843"/>
    <x v="507"/>
    <d v="2025-07-13T00:00:00"/>
    <s v="C1274"/>
    <s v="Customer 174"/>
    <x v="1"/>
    <s v="Bhubaneswar"/>
    <s v="Odisha"/>
    <x v="3"/>
    <x v="1"/>
    <s v="Bookcase"/>
    <x v="817"/>
    <n v="41255.46"/>
    <n v="7"/>
    <n v="0"/>
    <n v="4558.96"/>
    <x v="2"/>
    <x v="1"/>
  </r>
  <r>
    <n v="1844"/>
    <x v="73"/>
    <d v="2024-03-02T00:00:00"/>
    <s v="C1174"/>
    <s v="Customer 210"/>
    <x v="0"/>
    <s v="Hyderabad"/>
    <s v="Telangana"/>
    <x v="2"/>
    <x v="2"/>
    <s v="Notebook"/>
    <x v="818"/>
    <n v="83906.54"/>
    <n v="1"/>
    <n v="0.2"/>
    <n v="15244.33"/>
    <x v="6"/>
    <x v="1"/>
  </r>
  <r>
    <n v="1845"/>
    <x v="370"/>
    <d v="2025-09-15T00:00:00"/>
    <s v="C1277"/>
    <s v="Customer 131"/>
    <x v="2"/>
    <s v="Hyderabad"/>
    <s v="Telangana"/>
    <x v="2"/>
    <x v="0"/>
    <s v="Mouse"/>
    <x v="819"/>
    <n v="69202.66"/>
    <n v="5"/>
    <n v="0"/>
    <n v="20269.73"/>
    <x v="7"/>
    <x v="2"/>
  </r>
  <r>
    <n v="1846"/>
    <x v="92"/>
    <d v="2025-07-09T00:00:00"/>
    <s v="C1151"/>
    <s v="Customer 241"/>
    <x v="0"/>
    <s v="Lucknow"/>
    <s v="Uttar Pradesh"/>
    <x v="1"/>
    <x v="2"/>
    <s v="Paper"/>
    <x v="820"/>
    <n v="83167.55"/>
    <n v="4"/>
    <n v="0.1"/>
    <n v="16765.82"/>
    <x v="2"/>
    <x v="3"/>
  </r>
  <r>
    <n v="1847"/>
    <x v="502"/>
    <d v="2024-04-11T00:00:00"/>
    <s v="C1294"/>
    <s v="Customer 35"/>
    <x v="0"/>
    <s v="Mumbai"/>
    <s v="Maharashtra"/>
    <x v="0"/>
    <x v="2"/>
    <s v="Pen"/>
    <x v="821"/>
    <n v="59248.2"/>
    <n v="6"/>
    <n v="0.15"/>
    <n v="5946.74"/>
    <x v="1"/>
    <x v="1"/>
  </r>
  <r>
    <n v="1848"/>
    <x v="342"/>
    <d v="2025-02-24T00:00:00"/>
    <s v="C1115"/>
    <s v="Customer 126"/>
    <x v="1"/>
    <s v="Chennai"/>
    <s v="Tamil Nadu"/>
    <x v="2"/>
    <x v="0"/>
    <s v="Phone"/>
    <x v="822"/>
    <n v="22496.240000000002"/>
    <n v="6"/>
    <n v="0.2"/>
    <n v="1359.68"/>
    <x v="0"/>
    <x v="2"/>
  </r>
  <r>
    <n v="1849"/>
    <x v="508"/>
    <d v="2025-04-09T00:00:00"/>
    <s v="C1188"/>
    <s v="Customer 277"/>
    <x v="1"/>
    <s v="Patna"/>
    <s v="Bihar"/>
    <x v="3"/>
    <x v="1"/>
    <s v="Table"/>
    <x v="823"/>
    <n v="32773.199999999997"/>
    <n v="4"/>
    <n v="0.2"/>
    <n v="3292.92"/>
    <x v="3"/>
    <x v="0"/>
  </r>
  <r>
    <n v="1850"/>
    <x v="509"/>
    <d v="2024-02-24T00:00:00"/>
    <s v="C1028"/>
    <s v="Customer 268"/>
    <x v="2"/>
    <s v="Delhi"/>
    <s v="Delhi"/>
    <x v="1"/>
    <x v="2"/>
    <s v="Storage"/>
    <x v="824"/>
    <n v="62116.29"/>
    <n v="8"/>
    <n v="0.15"/>
    <n v="6010.95"/>
    <x v="5"/>
    <x v="0"/>
  </r>
  <r>
    <n v="1851"/>
    <x v="510"/>
    <d v="2024-02-24T00:00:00"/>
    <s v="C1138"/>
    <s v="Customer 108"/>
    <x v="1"/>
    <s v="Mumbai"/>
    <s v="Maharashtra"/>
    <x v="0"/>
    <x v="2"/>
    <s v="Paper"/>
    <x v="825"/>
    <n v="43490.21"/>
    <n v="1"/>
    <n v="0.15"/>
    <n v="1684.44"/>
    <x v="2"/>
    <x v="3"/>
  </r>
  <r>
    <n v="1852"/>
    <x v="9"/>
    <d v="2024-01-04T00:00:00"/>
    <s v="C1178"/>
    <s v="Customer 131"/>
    <x v="2"/>
    <s v="Jaipur"/>
    <s v="Rajasthan"/>
    <x v="1"/>
    <x v="0"/>
    <s v="Monitor"/>
    <x v="826"/>
    <n v="15058.92"/>
    <n v="7"/>
    <n v="0.25"/>
    <n v="-201.57"/>
    <x v="4"/>
    <x v="1"/>
  </r>
  <r>
    <n v="1853"/>
    <x v="401"/>
    <d v="2024-08-08T00:00:00"/>
    <s v="C1094"/>
    <s v="Customer 99"/>
    <x v="1"/>
    <s v="Kolkata"/>
    <s v="West Bengal"/>
    <x v="3"/>
    <x v="0"/>
    <s v="Monitor"/>
    <x v="827"/>
    <n v="87210.33"/>
    <n v="8"/>
    <n v="0.3"/>
    <n v="807.52"/>
    <x v="1"/>
    <x v="2"/>
  </r>
  <r>
    <n v="1854"/>
    <x v="284"/>
    <d v="2025-12-23T00:00:00"/>
    <s v="C1198"/>
    <s v="Customer 127"/>
    <x v="2"/>
    <s v="Hyderabad"/>
    <s v="Telangana"/>
    <x v="2"/>
    <x v="2"/>
    <s v="Binder"/>
    <x v="828"/>
    <n v="68189.09"/>
    <n v="7"/>
    <n v="0.15"/>
    <n v="6691.9"/>
    <x v="6"/>
    <x v="2"/>
  </r>
  <r>
    <n v="1855"/>
    <x v="71"/>
    <d v="2024-08-30T00:00:00"/>
    <s v="C1251"/>
    <s v="Customer 94"/>
    <x v="0"/>
    <s v="Mumbai"/>
    <s v="Maharashtra"/>
    <x v="0"/>
    <x v="2"/>
    <s v="Binder"/>
    <x v="795"/>
    <n v="4482.92"/>
    <n v="6"/>
    <n v="0"/>
    <n v="867.43"/>
    <x v="5"/>
    <x v="3"/>
  </r>
  <r>
    <n v="1856"/>
    <x v="470"/>
    <d v="2024-07-11T00:00:00"/>
    <s v="C1159"/>
    <s v="Customer 2"/>
    <x v="2"/>
    <s v="Bengaluru"/>
    <s v="Karnataka"/>
    <x v="2"/>
    <x v="0"/>
    <s v="Mouse"/>
    <x v="829"/>
    <n v="78129.47"/>
    <n v="2"/>
    <n v="0.3"/>
    <n v="3199.42"/>
    <x v="5"/>
    <x v="2"/>
  </r>
  <r>
    <n v="1857"/>
    <x v="443"/>
    <d v="2025-03-20T00:00:00"/>
    <s v="C1040"/>
    <s v="Customer 29"/>
    <x v="0"/>
    <s v="Bhubaneswar"/>
    <s v="Odisha"/>
    <x v="3"/>
    <x v="1"/>
    <s v="Sofa"/>
    <x v="830"/>
    <n v="53860.56"/>
    <n v="9"/>
    <n v="0.25"/>
    <n v="8999.43"/>
    <x v="3"/>
    <x v="1"/>
  </r>
  <r>
    <n v="1858"/>
    <x v="131"/>
    <d v="2025-10-22T00:00:00"/>
    <s v="C1007"/>
    <s v="Customer 135"/>
    <x v="1"/>
    <s v="Hyderabad"/>
    <s v="Telangana"/>
    <x v="2"/>
    <x v="0"/>
    <s v="Phone"/>
    <x v="831"/>
    <n v="1709.13"/>
    <n v="6"/>
    <n v="0.05"/>
    <n v="154.12"/>
    <x v="7"/>
    <x v="2"/>
  </r>
  <r>
    <n v="1859"/>
    <x v="384"/>
    <d v="2024-05-11T00:00:00"/>
    <s v="C1075"/>
    <s v="Customer 168"/>
    <x v="1"/>
    <s v="Kolkata"/>
    <s v="West Bengal"/>
    <x v="3"/>
    <x v="2"/>
    <s v="Storage"/>
    <x v="832"/>
    <n v="30264.7"/>
    <n v="3"/>
    <n v="0"/>
    <n v="7908.79"/>
    <x v="2"/>
    <x v="0"/>
  </r>
  <r>
    <n v="1860"/>
    <x v="511"/>
    <d v="2024-04-04T00:00:00"/>
    <s v="C1146"/>
    <s v="Customer 46"/>
    <x v="0"/>
    <s v="Patna"/>
    <s v="Bihar"/>
    <x v="3"/>
    <x v="2"/>
    <s v="Notebook"/>
    <x v="833"/>
    <n v="2351.94"/>
    <n v="4"/>
    <n v="0.2"/>
    <n v="34.33"/>
    <x v="3"/>
    <x v="3"/>
  </r>
  <r>
    <n v="1861"/>
    <x v="224"/>
    <d v="2024-02-07T00:00:00"/>
    <s v="C1103"/>
    <s v="Customer 20"/>
    <x v="1"/>
    <s v="Patna"/>
    <s v="Bihar"/>
    <x v="3"/>
    <x v="0"/>
    <s v="Laptop"/>
    <x v="834"/>
    <n v="39669.69"/>
    <n v="6"/>
    <n v="0.15"/>
    <n v="8893.98"/>
    <x v="6"/>
    <x v="0"/>
  </r>
  <r>
    <n v="1862"/>
    <x v="291"/>
    <d v="2025-03-24T00:00:00"/>
    <s v="C1168"/>
    <s v="Customer 174"/>
    <x v="2"/>
    <s v="Hyderabad"/>
    <s v="Telangana"/>
    <x v="2"/>
    <x v="0"/>
    <s v="Keyboard"/>
    <x v="835"/>
    <n v="41908.07"/>
    <n v="7"/>
    <n v="0.3"/>
    <n v="1181.6600000000001"/>
    <x v="4"/>
    <x v="0"/>
  </r>
  <r>
    <n v="1863"/>
    <x v="180"/>
    <d v="2025-06-01T00:00:00"/>
    <s v="C1180"/>
    <s v="Customer 232"/>
    <x v="0"/>
    <s v="Chennai"/>
    <s v="Tamil Nadu"/>
    <x v="2"/>
    <x v="0"/>
    <s v="Monitor"/>
    <x v="836"/>
    <n v="12027.15"/>
    <n v="9"/>
    <n v="0.15"/>
    <n v="2522.5300000000002"/>
    <x v="6"/>
    <x v="1"/>
  </r>
  <r>
    <n v="1864"/>
    <x v="75"/>
    <d v="2025-03-15T00:00:00"/>
    <s v="C1153"/>
    <s v="Customer 244"/>
    <x v="1"/>
    <s v="Chennai"/>
    <s v="Tamil Nadu"/>
    <x v="2"/>
    <x v="2"/>
    <s v="Binder"/>
    <x v="837"/>
    <n v="58328.97"/>
    <n v="9"/>
    <n v="0"/>
    <n v="7075.67"/>
    <x v="6"/>
    <x v="1"/>
  </r>
  <r>
    <n v="1865"/>
    <x v="62"/>
    <d v="2024-05-06T00:00:00"/>
    <s v="C1278"/>
    <s v="Customer 241"/>
    <x v="2"/>
    <s v="Hyderabad"/>
    <s v="Telangana"/>
    <x v="2"/>
    <x v="2"/>
    <s v="Storage"/>
    <x v="838"/>
    <n v="67043.78"/>
    <n v="5"/>
    <n v="0.25"/>
    <n v="3490.73"/>
    <x v="2"/>
    <x v="0"/>
  </r>
  <r>
    <n v="1866"/>
    <x v="512"/>
    <d v="2024-09-01T00:00:00"/>
    <s v="C1244"/>
    <s v="Customer 243"/>
    <x v="0"/>
    <s v="Bengaluru"/>
    <s v="Karnataka"/>
    <x v="2"/>
    <x v="0"/>
    <s v="Phone"/>
    <x v="673"/>
    <n v="8711.26"/>
    <n v="7"/>
    <n v="0.15"/>
    <n v="1197.3599999999999"/>
    <x v="7"/>
    <x v="2"/>
  </r>
  <r>
    <n v="1867"/>
    <x v="513"/>
    <d v="2025-12-31T00:00:00"/>
    <s v="C1157"/>
    <s v="Customer 207"/>
    <x v="1"/>
    <s v="Pune"/>
    <s v="Maharashtra"/>
    <x v="0"/>
    <x v="1"/>
    <s v="Sofa"/>
    <x v="839"/>
    <n v="30807.55"/>
    <n v="10"/>
    <n v="0.05"/>
    <n v="4460.4799999999996"/>
    <x v="4"/>
    <x v="0"/>
  </r>
  <r>
    <n v="1868"/>
    <x v="429"/>
    <d v="2024-12-04T00:00:00"/>
    <s v="C1187"/>
    <s v="Customer 288"/>
    <x v="1"/>
    <s v="Jaipur"/>
    <s v="Rajasthan"/>
    <x v="1"/>
    <x v="2"/>
    <s v="Notebook"/>
    <x v="840"/>
    <n v="53273.42"/>
    <n v="7"/>
    <n v="0.05"/>
    <n v="4977.7299999999996"/>
    <x v="3"/>
    <x v="1"/>
  </r>
  <r>
    <n v="1869"/>
    <x v="420"/>
    <d v="2025-04-12T00:00:00"/>
    <s v="C1292"/>
    <s v="Customer 238"/>
    <x v="1"/>
    <s v="Bhubaneswar"/>
    <s v="Odisha"/>
    <x v="3"/>
    <x v="1"/>
    <s v="Chair"/>
    <x v="841"/>
    <n v="36758.089999999997"/>
    <n v="8"/>
    <n v="0.15"/>
    <n v="5426.65"/>
    <x v="5"/>
    <x v="2"/>
  </r>
  <r>
    <n v="1870"/>
    <x v="514"/>
    <d v="2024-08-01T00:00:00"/>
    <s v="C1185"/>
    <s v="Customer 279"/>
    <x v="1"/>
    <s v="Hyderabad"/>
    <s v="Telangana"/>
    <x v="2"/>
    <x v="0"/>
    <s v="Laptop"/>
    <x v="728"/>
    <n v="45992.98"/>
    <n v="9"/>
    <n v="0.25"/>
    <n v="7618.89"/>
    <x v="7"/>
    <x v="1"/>
  </r>
  <r>
    <n v="1871"/>
    <x v="515"/>
    <d v="2024-09-21T00:00:00"/>
    <s v="C1296"/>
    <s v="Customer 54"/>
    <x v="1"/>
    <s v="Hyderabad"/>
    <s v="Telangana"/>
    <x v="2"/>
    <x v="0"/>
    <s v="Mouse"/>
    <x v="842"/>
    <n v="8869.9"/>
    <n v="8"/>
    <n v="0.1"/>
    <n v="803.86"/>
    <x v="6"/>
    <x v="3"/>
  </r>
  <r>
    <n v="1872"/>
    <x v="333"/>
    <d v="2025-04-29T00:00:00"/>
    <s v="C1178"/>
    <s v="Customer 47"/>
    <x v="2"/>
    <s v="Delhi"/>
    <s v="Delhi"/>
    <x v="1"/>
    <x v="1"/>
    <s v="Chair"/>
    <x v="843"/>
    <n v="2830.51"/>
    <n v="9"/>
    <n v="0.3"/>
    <n v="376.73"/>
    <x v="6"/>
    <x v="3"/>
  </r>
  <r>
    <n v="1873"/>
    <x v="516"/>
    <d v="2025-08-01T00:00:00"/>
    <s v="C1260"/>
    <s v="Customer 252"/>
    <x v="1"/>
    <s v="Patna"/>
    <s v="Bihar"/>
    <x v="3"/>
    <x v="2"/>
    <s v="Storage"/>
    <x v="844"/>
    <n v="53455.92"/>
    <n v="9"/>
    <n v="0"/>
    <n v="10916.32"/>
    <x v="3"/>
    <x v="0"/>
  </r>
  <r>
    <n v="1874"/>
    <x v="517"/>
    <d v="2025-07-28T00:00:00"/>
    <s v="C1152"/>
    <s v="Customer 36"/>
    <x v="0"/>
    <s v="Pune"/>
    <s v="Maharashtra"/>
    <x v="0"/>
    <x v="0"/>
    <s v="Keyboard"/>
    <x v="845"/>
    <n v="6055.64"/>
    <n v="3"/>
    <n v="0"/>
    <n v="1205.67"/>
    <x v="0"/>
    <x v="0"/>
  </r>
  <r>
    <n v="1875"/>
    <x v="368"/>
    <d v="2024-05-26T00:00:00"/>
    <s v="C1122"/>
    <s v="Customer 250"/>
    <x v="2"/>
    <s v="Kolkata"/>
    <s v="West Bengal"/>
    <x v="3"/>
    <x v="0"/>
    <s v="Phone"/>
    <x v="126"/>
    <n v="8305.9699999999993"/>
    <n v="6"/>
    <n v="0.1"/>
    <n v="1992.27"/>
    <x v="0"/>
    <x v="0"/>
  </r>
  <r>
    <n v="1876"/>
    <x v="518"/>
    <d v="2025-09-24T00:00:00"/>
    <s v="C1252"/>
    <s v="Customer 18"/>
    <x v="1"/>
    <s v="Chennai"/>
    <s v="Tamil Nadu"/>
    <x v="2"/>
    <x v="0"/>
    <s v="Phone"/>
    <x v="846"/>
    <n v="80208.67"/>
    <n v="6"/>
    <n v="0.3"/>
    <n v="13903.83"/>
    <x v="6"/>
    <x v="2"/>
  </r>
  <r>
    <n v="1877"/>
    <x v="406"/>
    <d v="2024-12-28T00:00:00"/>
    <s v="C1077"/>
    <s v="Customer 246"/>
    <x v="0"/>
    <s v="Ahmedabad"/>
    <s v="Gujarat"/>
    <x v="0"/>
    <x v="0"/>
    <s v="Mouse"/>
    <x v="847"/>
    <n v="8115.17"/>
    <n v="8"/>
    <n v="0.2"/>
    <n v="770.03"/>
    <x v="2"/>
    <x v="1"/>
  </r>
  <r>
    <n v="1878"/>
    <x v="519"/>
    <d v="2025-04-01T00:00:00"/>
    <s v="C1160"/>
    <s v="Customer 151"/>
    <x v="2"/>
    <s v="Jaipur"/>
    <s v="Rajasthan"/>
    <x v="1"/>
    <x v="0"/>
    <s v="Mouse"/>
    <x v="147"/>
    <n v="14146.48"/>
    <n v="7"/>
    <n v="0.25"/>
    <n v="252.2"/>
    <x v="5"/>
    <x v="1"/>
  </r>
  <r>
    <n v="1879"/>
    <x v="57"/>
    <d v="2024-10-07T00:00:00"/>
    <s v="C1108"/>
    <s v="Customer 175"/>
    <x v="2"/>
    <s v="Bengaluru"/>
    <s v="Karnataka"/>
    <x v="2"/>
    <x v="1"/>
    <s v="Table"/>
    <x v="848"/>
    <n v="20159.810000000001"/>
    <n v="3"/>
    <n v="0"/>
    <n v="4108.3599999999997"/>
    <x v="2"/>
    <x v="1"/>
  </r>
  <r>
    <n v="1880"/>
    <x v="230"/>
    <d v="2024-12-18T00:00:00"/>
    <s v="C1043"/>
    <s v="Customer 263"/>
    <x v="1"/>
    <s v="Patna"/>
    <s v="Bihar"/>
    <x v="3"/>
    <x v="2"/>
    <s v="Paper"/>
    <x v="849"/>
    <n v="77822.44"/>
    <n v="6"/>
    <n v="0.25"/>
    <n v="12091.92"/>
    <x v="7"/>
    <x v="3"/>
  </r>
  <r>
    <n v="1881"/>
    <x v="427"/>
    <d v="2024-01-03T00:00:00"/>
    <s v="C1086"/>
    <s v="Customer 132"/>
    <x v="2"/>
    <s v="Patna"/>
    <s v="Bihar"/>
    <x v="3"/>
    <x v="1"/>
    <s v="Sofa"/>
    <x v="850"/>
    <n v="48615.23"/>
    <n v="10"/>
    <n v="0.25"/>
    <n v="8376.23"/>
    <x v="4"/>
    <x v="0"/>
  </r>
  <r>
    <n v="1882"/>
    <x v="520"/>
    <d v="2024-05-21T00:00:00"/>
    <s v="C1171"/>
    <s v="Customer 160"/>
    <x v="0"/>
    <s v="Bengaluru"/>
    <s v="Karnataka"/>
    <x v="2"/>
    <x v="2"/>
    <s v="Binder"/>
    <x v="851"/>
    <n v="1591.25"/>
    <n v="1"/>
    <n v="0.25"/>
    <n v="269.18"/>
    <x v="4"/>
    <x v="0"/>
  </r>
  <r>
    <n v="1883"/>
    <x v="4"/>
    <d v="2024-07-17T00:00:00"/>
    <s v="C1042"/>
    <s v="Customer 203"/>
    <x v="0"/>
    <s v="Bengaluru"/>
    <s v="Karnataka"/>
    <x v="2"/>
    <x v="2"/>
    <s v="Paper"/>
    <x v="852"/>
    <n v="88340.94"/>
    <n v="2"/>
    <n v="0.2"/>
    <n v="10800.18"/>
    <x v="4"/>
    <x v="1"/>
  </r>
  <r>
    <n v="1884"/>
    <x v="521"/>
    <d v="2024-03-04T00:00:00"/>
    <s v="C1222"/>
    <s v="Customer 297"/>
    <x v="1"/>
    <s v="Hyderabad"/>
    <s v="Telangana"/>
    <x v="2"/>
    <x v="2"/>
    <s v="Pen"/>
    <x v="853"/>
    <n v="80198.41"/>
    <n v="4"/>
    <n v="0.05"/>
    <n v="9424.41"/>
    <x v="7"/>
    <x v="0"/>
  </r>
  <r>
    <n v="1885"/>
    <x v="12"/>
    <d v="2024-09-25T00:00:00"/>
    <s v="C1257"/>
    <s v="Customer 189"/>
    <x v="0"/>
    <s v="Patna"/>
    <s v="Bihar"/>
    <x v="3"/>
    <x v="2"/>
    <s v="Paper"/>
    <x v="854"/>
    <n v="48378.05"/>
    <n v="1"/>
    <n v="0.15"/>
    <n v="5767.55"/>
    <x v="4"/>
    <x v="1"/>
  </r>
  <r>
    <n v="1886"/>
    <x v="445"/>
    <d v="2025-08-26T00:00:00"/>
    <s v="C1107"/>
    <s v="Customer 38"/>
    <x v="2"/>
    <s v="Lucknow"/>
    <s v="Uttar Pradesh"/>
    <x v="1"/>
    <x v="0"/>
    <s v="Monitor"/>
    <x v="557"/>
    <n v="88832.25"/>
    <n v="10"/>
    <n v="0.3"/>
    <n v="7771.28"/>
    <x v="2"/>
    <x v="3"/>
  </r>
  <r>
    <n v="1887"/>
    <x v="522"/>
    <d v="2025-12-18T00:00:00"/>
    <s v="C1075"/>
    <s v="Customer 264"/>
    <x v="0"/>
    <s v="Hyderabad"/>
    <s v="Telangana"/>
    <x v="2"/>
    <x v="1"/>
    <s v="Chair"/>
    <x v="855"/>
    <n v="65142.33"/>
    <n v="7"/>
    <n v="0.05"/>
    <n v="17130.3"/>
    <x v="2"/>
    <x v="2"/>
  </r>
  <r>
    <n v="1888"/>
    <x v="516"/>
    <d v="2025-07-30T00:00:00"/>
    <s v="C1226"/>
    <s v="Customer 247"/>
    <x v="0"/>
    <s v="Ahmedabad"/>
    <s v="Gujarat"/>
    <x v="0"/>
    <x v="0"/>
    <s v="Keyboard"/>
    <x v="856"/>
    <n v="1109.4100000000001"/>
    <n v="4"/>
    <n v="0.2"/>
    <n v="40.07"/>
    <x v="7"/>
    <x v="0"/>
  </r>
  <r>
    <n v="1889"/>
    <x v="523"/>
    <d v="2026-01-03T00:00:00"/>
    <s v="C1017"/>
    <s v="Customer 248"/>
    <x v="2"/>
    <s v="Mumbai"/>
    <s v="Maharashtra"/>
    <x v="0"/>
    <x v="2"/>
    <s v="Binder"/>
    <x v="857"/>
    <n v="8778.36"/>
    <n v="9"/>
    <n v="0.15"/>
    <n v="500.46"/>
    <x v="6"/>
    <x v="3"/>
  </r>
  <r>
    <n v="1890"/>
    <x v="350"/>
    <d v="2024-01-10T00:00:00"/>
    <s v="C1003"/>
    <s v="Customer 223"/>
    <x v="2"/>
    <s v="Ahmedabad"/>
    <s v="Gujarat"/>
    <x v="0"/>
    <x v="2"/>
    <s v="Storage"/>
    <x v="858"/>
    <n v="28480.720000000001"/>
    <n v="2"/>
    <n v="0.3"/>
    <n v="4805.4799999999996"/>
    <x v="7"/>
    <x v="1"/>
  </r>
  <r>
    <n v="1891"/>
    <x v="142"/>
    <d v="2024-06-27T00:00:00"/>
    <s v="C1027"/>
    <s v="Customer 137"/>
    <x v="1"/>
    <s v="Delhi"/>
    <s v="Delhi"/>
    <x v="1"/>
    <x v="2"/>
    <s v="Paper"/>
    <x v="859"/>
    <n v="56054"/>
    <n v="2"/>
    <n v="0.05"/>
    <n v="3686.63"/>
    <x v="0"/>
    <x v="2"/>
  </r>
  <r>
    <n v="1892"/>
    <x v="6"/>
    <d v="2024-11-06T00:00:00"/>
    <s v="C1045"/>
    <s v="Customer 205"/>
    <x v="2"/>
    <s v="Patna"/>
    <s v="Bihar"/>
    <x v="3"/>
    <x v="1"/>
    <s v="Sofa"/>
    <x v="860"/>
    <n v="85126.29"/>
    <n v="3"/>
    <n v="0.25"/>
    <n v="7041.39"/>
    <x v="5"/>
    <x v="3"/>
  </r>
  <r>
    <n v="1893"/>
    <x v="184"/>
    <d v="2025-07-05T00:00:00"/>
    <s v="C1068"/>
    <s v="Customer 127"/>
    <x v="0"/>
    <s v="Ahmedabad"/>
    <s v="Gujarat"/>
    <x v="0"/>
    <x v="1"/>
    <s v="Table"/>
    <x v="705"/>
    <n v="47948.75"/>
    <n v="9"/>
    <n v="0"/>
    <n v="12321.95"/>
    <x v="3"/>
    <x v="0"/>
  </r>
  <r>
    <n v="1894"/>
    <x v="524"/>
    <d v="2024-06-25T00:00:00"/>
    <s v="C1220"/>
    <s v="Customer 103"/>
    <x v="0"/>
    <s v="Kolkata"/>
    <s v="West Bengal"/>
    <x v="3"/>
    <x v="0"/>
    <s v="Monitor"/>
    <x v="455"/>
    <n v="40092.89"/>
    <n v="5"/>
    <n v="0.2"/>
    <n v="2174.8000000000002"/>
    <x v="7"/>
    <x v="3"/>
  </r>
  <r>
    <n v="1895"/>
    <x v="525"/>
    <d v="2024-04-26T00:00:00"/>
    <s v="C1163"/>
    <s v="Customer 64"/>
    <x v="1"/>
    <s v="Bhubaneswar"/>
    <s v="Odisha"/>
    <x v="3"/>
    <x v="0"/>
    <s v="Mouse"/>
    <x v="861"/>
    <n v="21949.75"/>
    <n v="3"/>
    <n v="0.15"/>
    <n v="3242.4"/>
    <x v="1"/>
    <x v="0"/>
  </r>
  <r>
    <n v="1896"/>
    <x v="526"/>
    <d v="2025-11-27T00:00:00"/>
    <s v="C1094"/>
    <s v="Customer 16"/>
    <x v="1"/>
    <s v="Ahmedabad"/>
    <s v="Gujarat"/>
    <x v="0"/>
    <x v="1"/>
    <s v="Chair"/>
    <x v="862"/>
    <n v="62132.35"/>
    <n v="6"/>
    <n v="0.2"/>
    <n v="7475.09"/>
    <x v="5"/>
    <x v="3"/>
  </r>
  <r>
    <n v="1897"/>
    <x v="318"/>
    <d v="2025-07-17T00:00:00"/>
    <s v="C1144"/>
    <s v="Customer 192"/>
    <x v="0"/>
    <s v="Delhi"/>
    <s v="Delhi"/>
    <x v="1"/>
    <x v="0"/>
    <s v="Laptop"/>
    <x v="863"/>
    <n v="6644.09"/>
    <n v="5"/>
    <n v="0.05"/>
    <n v="1622.01"/>
    <x v="3"/>
    <x v="0"/>
  </r>
  <r>
    <n v="1898"/>
    <x v="146"/>
    <d v="2025-10-25T00:00:00"/>
    <s v="C1249"/>
    <s v="Customer 207"/>
    <x v="2"/>
    <s v="Hyderabad"/>
    <s v="Telangana"/>
    <x v="2"/>
    <x v="1"/>
    <s v="Table"/>
    <x v="864"/>
    <n v="26200.62"/>
    <n v="5"/>
    <n v="0.25"/>
    <n v="411.95"/>
    <x v="6"/>
    <x v="0"/>
  </r>
  <r>
    <n v="1899"/>
    <x v="527"/>
    <d v="2024-06-10T00:00:00"/>
    <s v="C1131"/>
    <s v="Customer 73"/>
    <x v="1"/>
    <s v="Delhi"/>
    <s v="Delhi"/>
    <x v="1"/>
    <x v="1"/>
    <s v="Chair"/>
    <x v="341"/>
    <n v="36062.94"/>
    <n v="9"/>
    <n v="0"/>
    <n v="4636.2700000000004"/>
    <x v="7"/>
    <x v="0"/>
  </r>
  <r>
    <n v="1900"/>
    <x v="430"/>
    <d v="2025-05-05T00:00:00"/>
    <s v="C1193"/>
    <s v="Customer 155"/>
    <x v="2"/>
    <s v="Delhi"/>
    <s v="Delhi"/>
    <x v="1"/>
    <x v="1"/>
    <s v="Sofa"/>
    <x v="26"/>
    <n v="15497.12"/>
    <n v="1"/>
    <n v="0.2"/>
    <n v="3010.84"/>
    <x v="3"/>
    <x v="1"/>
  </r>
  <r>
    <n v="1901"/>
    <x v="476"/>
    <d v="2024-01-12T00:00:00"/>
    <s v="C1298"/>
    <s v="Customer 176"/>
    <x v="1"/>
    <s v="Mumbai"/>
    <s v="Maharashtra"/>
    <x v="0"/>
    <x v="1"/>
    <s v="Table"/>
    <x v="865"/>
    <n v="89292.22"/>
    <n v="3"/>
    <n v="0.05"/>
    <n v="18659.41"/>
    <x v="6"/>
    <x v="3"/>
  </r>
  <r>
    <n v="1902"/>
    <x v="528"/>
    <d v="2024-04-03T00:00:00"/>
    <s v="C1251"/>
    <s v="Customer 294"/>
    <x v="1"/>
    <s v="Bhubaneswar"/>
    <s v="Odisha"/>
    <x v="3"/>
    <x v="0"/>
    <s v="Laptop"/>
    <x v="866"/>
    <n v="37287.99"/>
    <n v="5"/>
    <n v="0.1"/>
    <n v="2776.18"/>
    <x v="4"/>
    <x v="2"/>
  </r>
  <r>
    <n v="1903"/>
    <x v="116"/>
    <d v="2025-05-20T00:00:00"/>
    <s v="C1162"/>
    <s v="Customer 252"/>
    <x v="2"/>
    <s v="Chennai"/>
    <s v="Tamil Nadu"/>
    <x v="2"/>
    <x v="2"/>
    <s v="Paper"/>
    <x v="867"/>
    <n v="83326.36"/>
    <n v="8"/>
    <n v="0.25"/>
    <n v="11454.92"/>
    <x v="6"/>
    <x v="1"/>
  </r>
  <r>
    <n v="1904"/>
    <x v="61"/>
    <d v="2024-05-22T00:00:00"/>
    <s v="C1174"/>
    <s v="Customer 200"/>
    <x v="0"/>
    <s v="Delhi"/>
    <s v="Delhi"/>
    <x v="1"/>
    <x v="0"/>
    <s v="Keyboard"/>
    <x v="868"/>
    <n v="38708.1"/>
    <n v="9"/>
    <n v="0.05"/>
    <n v="8963.25"/>
    <x v="7"/>
    <x v="1"/>
  </r>
  <r>
    <n v="1905"/>
    <x v="210"/>
    <d v="2025-07-01T00:00:00"/>
    <s v="C1070"/>
    <s v="Customer 298"/>
    <x v="1"/>
    <s v="Kolkata"/>
    <s v="West Bengal"/>
    <x v="3"/>
    <x v="0"/>
    <s v="Phone"/>
    <x v="846"/>
    <n v="4571.87"/>
    <n v="3"/>
    <n v="0"/>
    <n v="867.8"/>
    <x v="5"/>
    <x v="2"/>
  </r>
  <r>
    <n v="1906"/>
    <x v="16"/>
    <d v="2024-07-29T00:00:00"/>
    <s v="C1300"/>
    <s v="Customer 64"/>
    <x v="1"/>
    <s v="Ahmedabad"/>
    <s v="Gujarat"/>
    <x v="0"/>
    <x v="2"/>
    <s v="Storage"/>
    <x v="869"/>
    <n v="31096.63"/>
    <n v="8"/>
    <n v="0.15"/>
    <n v="5311.11"/>
    <x v="6"/>
    <x v="1"/>
  </r>
  <r>
    <n v="1907"/>
    <x v="2"/>
    <d v="2025-09-20T00:00:00"/>
    <s v="C1266"/>
    <s v="Customer 242"/>
    <x v="0"/>
    <s v="Kolkata"/>
    <s v="West Bengal"/>
    <x v="3"/>
    <x v="0"/>
    <s v="Keyboard"/>
    <x v="870"/>
    <n v="54400.49"/>
    <n v="10"/>
    <n v="0.25"/>
    <n v="1980.36"/>
    <x v="3"/>
    <x v="3"/>
  </r>
  <r>
    <n v="1908"/>
    <x v="529"/>
    <d v="2025-08-03T00:00:00"/>
    <s v="C1298"/>
    <s v="Customer 225"/>
    <x v="1"/>
    <s v="Bengaluru"/>
    <s v="Karnataka"/>
    <x v="2"/>
    <x v="1"/>
    <s v="Bookcase"/>
    <x v="871"/>
    <n v="41380.910000000003"/>
    <n v="3"/>
    <n v="0.25"/>
    <n v="2306.96"/>
    <x v="6"/>
    <x v="3"/>
  </r>
  <r>
    <n v="1909"/>
    <x v="530"/>
    <d v="2025-04-17T00:00:00"/>
    <s v="C1186"/>
    <s v="Customer 183"/>
    <x v="0"/>
    <s v="Jaipur"/>
    <s v="Rajasthan"/>
    <x v="1"/>
    <x v="2"/>
    <s v="Pen"/>
    <x v="872"/>
    <n v="29864.98"/>
    <n v="3"/>
    <n v="0.2"/>
    <n v="1625.61"/>
    <x v="3"/>
    <x v="1"/>
  </r>
  <r>
    <n v="1910"/>
    <x v="112"/>
    <d v="2025-02-15T00:00:00"/>
    <s v="C1174"/>
    <s v="Customer 70"/>
    <x v="1"/>
    <s v="Patna"/>
    <s v="Bihar"/>
    <x v="3"/>
    <x v="0"/>
    <s v="Laptop"/>
    <x v="873"/>
    <n v="7897.24"/>
    <n v="9"/>
    <n v="0.05"/>
    <n v="650.1"/>
    <x v="7"/>
    <x v="2"/>
  </r>
  <r>
    <n v="1911"/>
    <x v="479"/>
    <d v="2024-02-25T00:00:00"/>
    <s v="C1060"/>
    <s v="Customer 135"/>
    <x v="2"/>
    <s v="Bhubaneswar"/>
    <s v="Odisha"/>
    <x v="3"/>
    <x v="0"/>
    <s v="Laptop"/>
    <x v="874"/>
    <n v="77547.95"/>
    <n v="5"/>
    <n v="0.25"/>
    <n v="10805.05"/>
    <x v="1"/>
    <x v="1"/>
  </r>
  <r>
    <n v="1912"/>
    <x v="531"/>
    <d v="2025-03-24T00:00:00"/>
    <s v="C1031"/>
    <s v="Customer 165"/>
    <x v="1"/>
    <s v="Delhi"/>
    <s v="Delhi"/>
    <x v="1"/>
    <x v="1"/>
    <s v="Sofa"/>
    <x v="875"/>
    <n v="35121.67"/>
    <n v="6"/>
    <n v="0.15"/>
    <n v="6581.56"/>
    <x v="5"/>
    <x v="3"/>
  </r>
  <r>
    <n v="1913"/>
    <x v="373"/>
    <d v="2025-02-23T00:00:00"/>
    <s v="C1220"/>
    <s v="Customer 226"/>
    <x v="0"/>
    <s v="Delhi"/>
    <s v="Delhi"/>
    <x v="1"/>
    <x v="2"/>
    <s v="Notebook"/>
    <x v="876"/>
    <n v="33652.839999999997"/>
    <n v="3"/>
    <n v="0.3"/>
    <n v="-650.88"/>
    <x v="2"/>
    <x v="0"/>
  </r>
  <r>
    <n v="1914"/>
    <x v="532"/>
    <d v="2025-12-09T00:00:00"/>
    <s v="C1300"/>
    <s v="Customer 258"/>
    <x v="0"/>
    <s v="Mumbai"/>
    <s v="Maharashtra"/>
    <x v="0"/>
    <x v="2"/>
    <s v="Pen"/>
    <x v="877"/>
    <n v="4202.6400000000003"/>
    <n v="1"/>
    <n v="0.2"/>
    <n v="437.31"/>
    <x v="5"/>
    <x v="1"/>
  </r>
  <r>
    <n v="1915"/>
    <x v="445"/>
    <d v="2025-08-26T00:00:00"/>
    <s v="C1213"/>
    <s v="Customer 207"/>
    <x v="1"/>
    <s v="Ahmedabad"/>
    <s v="Gujarat"/>
    <x v="0"/>
    <x v="2"/>
    <s v="Notebook"/>
    <x v="878"/>
    <n v="29186.48"/>
    <n v="4"/>
    <n v="0.1"/>
    <n v="2579.38"/>
    <x v="4"/>
    <x v="1"/>
  </r>
  <r>
    <n v="1916"/>
    <x v="177"/>
    <d v="2024-01-14T00:00:00"/>
    <s v="C1245"/>
    <s v="Customer 141"/>
    <x v="1"/>
    <s v="Lucknow"/>
    <s v="Uttar Pradesh"/>
    <x v="1"/>
    <x v="2"/>
    <s v="Storage"/>
    <x v="879"/>
    <n v="51102.98"/>
    <n v="8"/>
    <n v="0.1"/>
    <n v="5772.76"/>
    <x v="7"/>
    <x v="2"/>
  </r>
  <r>
    <n v="1917"/>
    <x v="458"/>
    <d v="2025-01-12T00:00:00"/>
    <s v="C1156"/>
    <s v="Customer 122"/>
    <x v="2"/>
    <s v="Mumbai"/>
    <s v="Maharashtra"/>
    <x v="0"/>
    <x v="1"/>
    <s v="Bookcase"/>
    <x v="880"/>
    <n v="75607.94"/>
    <n v="8"/>
    <n v="0"/>
    <n v="10393.43"/>
    <x v="4"/>
    <x v="3"/>
  </r>
  <r>
    <n v="1918"/>
    <x v="511"/>
    <d v="2024-04-01T00:00:00"/>
    <s v="C1065"/>
    <s v="Customer 23"/>
    <x v="1"/>
    <s v="Mumbai"/>
    <s v="Maharashtra"/>
    <x v="0"/>
    <x v="1"/>
    <s v="Table"/>
    <x v="881"/>
    <n v="9720.76"/>
    <n v="8"/>
    <n v="0.25"/>
    <n v="1325.18"/>
    <x v="3"/>
    <x v="3"/>
  </r>
  <r>
    <n v="1919"/>
    <x v="315"/>
    <d v="2024-09-21T00:00:00"/>
    <s v="C1075"/>
    <s v="Customer 21"/>
    <x v="2"/>
    <s v="Kolkata"/>
    <s v="West Bengal"/>
    <x v="3"/>
    <x v="1"/>
    <s v="Sofa"/>
    <x v="882"/>
    <n v="33656.050000000003"/>
    <n v="5"/>
    <n v="0.3"/>
    <n v="569.96"/>
    <x v="1"/>
    <x v="1"/>
  </r>
  <r>
    <n v="1920"/>
    <x v="284"/>
    <d v="2025-12-21T00:00:00"/>
    <s v="C1005"/>
    <s v="Customer 13"/>
    <x v="1"/>
    <s v="Bengaluru"/>
    <s v="Karnataka"/>
    <x v="2"/>
    <x v="2"/>
    <s v="Notebook"/>
    <x v="883"/>
    <n v="15346.43"/>
    <n v="7"/>
    <n v="0.05"/>
    <n v="3205.46"/>
    <x v="2"/>
    <x v="2"/>
  </r>
  <r>
    <n v="1921"/>
    <x v="474"/>
    <d v="2024-05-18T00:00:00"/>
    <s v="C1096"/>
    <s v="Customer 144"/>
    <x v="1"/>
    <s v="Jaipur"/>
    <s v="Rajasthan"/>
    <x v="1"/>
    <x v="2"/>
    <s v="Storage"/>
    <x v="884"/>
    <n v="5110.34"/>
    <n v="7"/>
    <n v="0.05"/>
    <n v="809.65"/>
    <x v="7"/>
    <x v="1"/>
  </r>
  <r>
    <n v="1922"/>
    <x v="227"/>
    <d v="2025-09-04T00:00:00"/>
    <s v="C1248"/>
    <s v="Customer 292"/>
    <x v="2"/>
    <s v="Bhubaneswar"/>
    <s v="Odisha"/>
    <x v="3"/>
    <x v="2"/>
    <s v="Notebook"/>
    <x v="885"/>
    <n v="73891.53"/>
    <n v="6"/>
    <n v="0.15"/>
    <n v="8238.43"/>
    <x v="4"/>
    <x v="1"/>
  </r>
  <r>
    <n v="1923"/>
    <x v="533"/>
    <d v="2025-09-14T00:00:00"/>
    <s v="C1093"/>
    <s v="Customer 223"/>
    <x v="0"/>
    <s v="Jaipur"/>
    <s v="Rajasthan"/>
    <x v="1"/>
    <x v="1"/>
    <s v="Sofa"/>
    <x v="886"/>
    <n v="75072.13"/>
    <n v="7"/>
    <n v="0.2"/>
    <n v="1828.38"/>
    <x v="7"/>
    <x v="1"/>
  </r>
  <r>
    <n v="1924"/>
    <x v="174"/>
    <d v="2025-09-23T00:00:00"/>
    <s v="C1185"/>
    <s v="Customer 142"/>
    <x v="2"/>
    <s v="Delhi"/>
    <s v="Delhi"/>
    <x v="1"/>
    <x v="2"/>
    <s v="Notebook"/>
    <x v="887"/>
    <n v="34959.910000000003"/>
    <n v="9"/>
    <n v="0.2"/>
    <n v="6595.15"/>
    <x v="6"/>
    <x v="0"/>
  </r>
  <r>
    <n v="1925"/>
    <x v="15"/>
    <d v="2024-08-17T00:00:00"/>
    <s v="C1076"/>
    <s v="Customer 279"/>
    <x v="1"/>
    <s v="Lucknow"/>
    <s v="Uttar Pradesh"/>
    <x v="1"/>
    <x v="0"/>
    <s v="Keyboard"/>
    <x v="888"/>
    <n v="54701.06"/>
    <n v="5"/>
    <n v="0"/>
    <n v="7888.24"/>
    <x v="4"/>
    <x v="0"/>
  </r>
  <r>
    <n v="1926"/>
    <x v="369"/>
    <d v="2025-05-09T00:00:00"/>
    <s v="C1178"/>
    <s v="Customer 8"/>
    <x v="0"/>
    <s v="Ahmedabad"/>
    <s v="Gujarat"/>
    <x v="0"/>
    <x v="0"/>
    <s v="Mouse"/>
    <x v="889"/>
    <n v="8559.7000000000007"/>
    <n v="7"/>
    <n v="0.25"/>
    <n v="581.69000000000005"/>
    <x v="7"/>
    <x v="3"/>
  </r>
  <r>
    <n v="1927"/>
    <x v="534"/>
    <d v="2024-10-07T00:00:00"/>
    <s v="C1018"/>
    <s v="Customer 112"/>
    <x v="0"/>
    <s v="Pune"/>
    <s v="Maharashtra"/>
    <x v="0"/>
    <x v="2"/>
    <s v="Binder"/>
    <x v="890"/>
    <n v="11960.76"/>
    <n v="7"/>
    <n v="0.25"/>
    <n v="930.73"/>
    <x v="4"/>
    <x v="1"/>
  </r>
  <r>
    <n v="1928"/>
    <x v="535"/>
    <d v="2025-10-01T00:00:00"/>
    <s v="C1109"/>
    <s v="Customer 139"/>
    <x v="1"/>
    <s v="Delhi"/>
    <s v="Delhi"/>
    <x v="1"/>
    <x v="0"/>
    <s v="Mouse"/>
    <x v="891"/>
    <n v="52351.53"/>
    <n v="4"/>
    <n v="0.25"/>
    <n v="4813.37"/>
    <x v="5"/>
    <x v="0"/>
  </r>
  <r>
    <n v="1929"/>
    <x v="434"/>
    <d v="2024-09-18T00:00:00"/>
    <s v="C1028"/>
    <s v="Customer 91"/>
    <x v="0"/>
    <s v="Bhubaneswar"/>
    <s v="Odisha"/>
    <x v="3"/>
    <x v="2"/>
    <s v="Notebook"/>
    <x v="892"/>
    <n v="25078.49"/>
    <n v="4"/>
    <n v="0.1"/>
    <n v="3139.45"/>
    <x v="7"/>
    <x v="1"/>
  </r>
  <r>
    <n v="1930"/>
    <x v="1"/>
    <d v="2025-10-25T00:00:00"/>
    <s v="C1218"/>
    <s v="Customer 268"/>
    <x v="0"/>
    <s v="Bengaluru"/>
    <s v="Karnataka"/>
    <x v="2"/>
    <x v="0"/>
    <s v="Keyboard"/>
    <x v="893"/>
    <n v="50543.03"/>
    <n v="5"/>
    <n v="0"/>
    <n v="12615.59"/>
    <x v="7"/>
    <x v="1"/>
  </r>
  <r>
    <n v="1931"/>
    <x v="132"/>
    <d v="2024-03-20T00:00:00"/>
    <s v="C1209"/>
    <s v="Customer 230"/>
    <x v="2"/>
    <s v="Lucknow"/>
    <s v="Uttar Pradesh"/>
    <x v="1"/>
    <x v="1"/>
    <s v="Table"/>
    <x v="894"/>
    <n v="41747.83"/>
    <n v="3"/>
    <n v="0.15"/>
    <n v="5856.61"/>
    <x v="0"/>
    <x v="2"/>
  </r>
  <r>
    <n v="1932"/>
    <x v="254"/>
    <d v="2025-07-06T00:00:00"/>
    <s v="C1121"/>
    <s v="Customer 95"/>
    <x v="2"/>
    <s v="Hyderabad"/>
    <s v="Telangana"/>
    <x v="2"/>
    <x v="2"/>
    <s v="Notebook"/>
    <x v="895"/>
    <n v="63337.02"/>
    <n v="7"/>
    <n v="0.05"/>
    <n v="7363.78"/>
    <x v="0"/>
    <x v="3"/>
  </r>
  <r>
    <n v="1933"/>
    <x v="536"/>
    <d v="2024-07-31T00:00:00"/>
    <s v="C1084"/>
    <s v="Customer 166"/>
    <x v="1"/>
    <s v="Lucknow"/>
    <s v="Uttar Pradesh"/>
    <x v="1"/>
    <x v="0"/>
    <s v="Laptop"/>
    <x v="896"/>
    <n v="68486.429999999993"/>
    <n v="4"/>
    <n v="0.15"/>
    <n v="13105.73"/>
    <x v="1"/>
    <x v="2"/>
  </r>
  <r>
    <n v="1934"/>
    <x v="537"/>
    <d v="2024-02-07T00:00:00"/>
    <s v="C1195"/>
    <s v="Customer 255"/>
    <x v="1"/>
    <s v="Hyderabad"/>
    <s v="Telangana"/>
    <x v="2"/>
    <x v="2"/>
    <s v="Paper"/>
    <x v="897"/>
    <n v="8838.2800000000007"/>
    <n v="5"/>
    <n v="0.15"/>
    <n v="1896.59"/>
    <x v="4"/>
    <x v="0"/>
  </r>
  <r>
    <n v="1935"/>
    <x v="530"/>
    <d v="2025-04-20T00:00:00"/>
    <s v="C1083"/>
    <s v="Customer 33"/>
    <x v="0"/>
    <s v="Lucknow"/>
    <s v="Uttar Pradesh"/>
    <x v="1"/>
    <x v="0"/>
    <s v="Keyboard"/>
    <x v="898"/>
    <n v="86393.33"/>
    <n v="1"/>
    <n v="0.1"/>
    <n v="9078.08"/>
    <x v="3"/>
    <x v="2"/>
  </r>
  <r>
    <n v="1936"/>
    <x v="334"/>
    <d v="2025-03-31T00:00:00"/>
    <s v="C1222"/>
    <s v="Customer 250"/>
    <x v="2"/>
    <s v="Lucknow"/>
    <s v="Uttar Pradesh"/>
    <x v="1"/>
    <x v="0"/>
    <s v="Keyboard"/>
    <x v="899"/>
    <n v="44959.76"/>
    <n v="5"/>
    <n v="0.15"/>
    <n v="2131.04"/>
    <x v="1"/>
    <x v="2"/>
  </r>
  <r>
    <n v="1937"/>
    <x v="502"/>
    <d v="2024-04-07T00:00:00"/>
    <s v="C1072"/>
    <s v="Customer 101"/>
    <x v="0"/>
    <s v="Kolkata"/>
    <s v="West Bengal"/>
    <x v="3"/>
    <x v="1"/>
    <s v="Sofa"/>
    <x v="900"/>
    <n v="35107.33"/>
    <n v="6"/>
    <n v="0.05"/>
    <n v="9749.98"/>
    <x v="1"/>
    <x v="0"/>
  </r>
  <r>
    <n v="1938"/>
    <x v="163"/>
    <d v="2025-01-28T00:00:00"/>
    <s v="C1082"/>
    <s v="Customer 20"/>
    <x v="1"/>
    <s v="Chennai"/>
    <s v="Tamil Nadu"/>
    <x v="2"/>
    <x v="1"/>
    <s v="Table"/>
    <x v="592"/>
    <n v="51546.67"/>
    <n v="7"/>
    <n v="0.05"/>
    <n v="11596.14"/>
    <x v="4"/>
    <x v="1"/>
  </r>
  <r>
    <n v="1939"/>
    <x v="408"/>
    <d v="2025-04-17T00:00:00"/>
    <s v="C1192"/>
    <s v="Customer 112"/>
    <x v="1"/>
    <s v="Delhi"/>
    <s v="Delhi"/>
    <x v="1"/>
    <x v="2"/>
    <s v="Paper"/>
    <x v="901"/>
    <n v="37911.370000000003"/>
    <n v="8"/>
    <n v="0.3"/>
    <n v="-358.98"/>
    <x v="3"/>
    <x v="0"/>
  </r>
  <r>
    <n v="1940"/>
    <x v="538"/>
    <d v="2025-10-16T00:00:00"/>
    <s v="C1170"/>
    <s v="Customer 81"/>
    <x v="0"/>
    <s v="Jaipur"/>
    <s v="Rajasthan"/>
    <x v="1"/>
    <x v="0"/>
    <s v="Monitor"/>
    <x v="902"/>
    <n v="61798.2"/>
    <n v="7"/>
    <n v="0.2"/>
    <n v="10355.02"/>
    <x v="4"/>
    <x v="3"/>
  </r>
  <r>
    <n v="1941"/>
    <x v="6"/>
    <d v="2024-11-09T00:00:00"/>
    <s v="C1088"/>
    <s v="Customer 108"/>
    <x v="0"/>
    <s v="Bhubaneswar"/>
    <s v="Odisha"/>
    <x v="3"/>
    <x v="2"/>
    <s v="Paper"/>
    <x v="903"/>
    <n v="84163.1"/>
    <n v="10"/>
    <n v="0.25"/>
    <n v="12695.65"/>
    <x v="2"/>
    <x v="0"/>
  </r>
  <r>
    <n v="1942"/>
    <x v="446"/>
    <d v="2024-12-31T00:00:00"/>
    <s v="C1272"/>
    <s v="Customer 155"/>
    <x v="2"/>
    <s v="Ahmedabad"/>
    <s v="Gujarat"/>
    <x v="0"/>
    <x v="1"/>
    <s v="Table"/>
    <x v="210"/>
    <n v="15232.85"/>
    <n v="6"/>
    <n v="0"/>
    <n v="2754.05"/>
    <x v="0"/>
    <x v="2"/>
  </r>
  <r>
    <n v="1943"/>
    <x v="373"/>
    <d v="2025-02-21T00:00:00"/>
    <s v="C1150"/>
    <s v="Customer 232"/>
    <x v="0"/>
    <s v="Kolkata"/>
    <s v="West Bengal"/>
    <x v="3"/>
    <x v="1"/>
    <s v="Sofa"/>
    <x v="904"/>
    <n v="76258.789999999994"/>
    <n v="4"/>
    <n v="0.3"/>
    <n v="5640.85"/>
    <x v="7"/>
    <x v="0"/>
  </r>
  <r>
    <n v="1944"/>
    <x v="213"/>
    <d v="2025-03-06T00:00:00"/>
    <s v="C1074"/>
    <s v="Customer 94"/>
    <x v="0"/>
    <s v="Patna"/>
    <s v="Bihar"/>
    <x v="3"/>
    <x v="1"/>
    <s v="Table"/>
    <x v="905"/>
    <n v="59665.120000000003"/>
    <n v="7"/>
    <n v="0.05"/>
    <n v="13097.68"/>
    <x v="6"/>
    <x v="0"/>
  </r>
  <r>
    <n v="1945"/>
    <x v="520"/>
    <d v="2024-05-25T00:00:00"/>
    <s v="C1071"/>
    <s v="Customer 120"/>
    <x v="2"/>
    <s v="Kolkata"/>
    <s v="West Bengal"/>
    <x v="3"/>
    <x v="2"/>
    <s v="Storage"/>
    <x v="906"/>
    <n v="63755.39"/>
    <n v="9"/>
    <n v="0"/>
    <n v="17829.330000000002"/>
    <x v="1"/>
    <x v="1"/>
  </r>
  <r>
    <n v="1946"/>
    <x v="539"/>
    <d v="2024-04-30T00:00:00"/>
    <s v="C1033"/>
    <s v="Customer 6"/>
    <x v="0"/>
    <s v="Ahmedabad"/>
    <s v="Gujarat"/>
    <x v="0"/>
    <x v="2"/>
    <s v="Notebook"/>
    <x v="907"/>
    <n v="41687.980000000003"/>
    <n v="9"/>
    <n v="0.25"/>
    <n v="6769.7"/>
    <x v="4"/>
    <x v="1"/>
  </r>
  <r>
    <n v="1947"/>
    <x v="334"/>
    <d v="2025-03-26T00:00:00"/>
    <s v="C1049"/>
    <s v="Customer 247"/>
    <x v="2"/>
    <s v="Bhubaneswar"/>
    <s v="Odisha"/>
    <x v="3"/>
    <x v="1"/>
    <s v="Sofa"/>
    <x v="908"/>
    <n v="8326.07"/>
    <n v="9"/>
    <n v="0"/>
    <n v="1679.84"/>
    <x v="7"/>
    <x v="1"/>
  </r>
  <r>
    <n v="1948"/>
    <x v="202"/>
    <d v="2024-02-19T00:00:00"/>
    <s v="C1057"/>
    <s v="Customer 202"/>
    <x v="0"/>
    <s v="Bhubaneswar"/>
    <s v="Odisha"/>
    <x v="3"/>
    <x v="2"/>
    <s v="Storage"/>
    <x v="909"/>
    <n v="59727.87"/>
    <n v="7"/>
    <n v="0.05"/>
    <n v="10422.49"/>
    <x v="3"/>
    <x v="0"/>
  </r>
  <r>
    <n v="1949"/>
    <x v="138"/>
    <d v="2024-05-08T00:00:00"/>
    <s v="C1062"/>
    <s v="Customer 67"/>
    <x v="0"/>
    <s v="Bhubaneswar"/>
    <s v="Odisha"/>
    <x v="3"/>
    <x v="2"/>
    <s v="Binder"/>
    <x v="910"/>
    <n v="60867.11"/>
    <n v="1"/>
    <n v="0.3"/>
    <n v="10099.48"/>
    <x v="6"/>
    <x v="2"/>
  </r>
  <r>
    <n v="1950"/>
    <x v="334"/>
    <d v="2025-03-29T00:00:00"/>
    <s v="C1006"/>
    <s v="Customer 170"/>
    <x v="2"/>
    <s v="Kolkata"/>
    <s v="West Bengal"/>
    <x v="3"/>
    <x v="1"/>
    <s v="Table"/>
    <x v="911"/>
    <n v="51052.22"/>
    <n v="3"/>
    <n v="0.25"/>
    <n v="4111.4799999999996"/>
    <x v="6"/>
    <x v="0"/>
  </r>
  <r>
    <n v="1951"/>
    <x v="151"/>
    <d v="2024-05-20T00:00:00"/>
    <s v="C1078"/>
    <s v="Customer 53"/>
    <x v="0"/>
    <s v="Jaipur"/>
    <s v="Rajasthan"/>
    <x v="1"/>
    <x v="1"/>
    <s v="Chair"/>
    <x v="912"/>
    <n v="65765.13"/>
    <n v="1"/>
    <n v="0.2"/>
    <n v="7434.26"/>
    <x v="7"/>
    <x v="1"/>
  </r>
  <r>
    <n v="1952"/>
    <x v="413"/>
    <d v="2024-07-22T00:00:00"/>
    <s v="C1170"/>
    <s v="Customer 9"/>
    <x v="0"/>
    <s v="Kolkata"/>
    <s v="West Bengal"/>
    <x v="3"/>
    <x v="2"/>
    <s v="Binder"/>
    <x v="913"/>
    <n v="8947.56"/>
    <n v="5"/>
    <n v="0"/>
    <n v="1752.12"/>
    <x v="2"/>
    <x v="1"/>
  </r>
  <r>
    <n v="1953"/>
    <x v="540"/>
    <d v="2024-02-18T00:00:00"/>
    <s v="C1221"/>
    <s v="Customer 229"/>
    <x v="1"/>
    <s v="Hyderabad"/>
    <s v="Telangana"/>
    <x v="2"/>
    <x v="1"/>
    <s v="Chair"/>
    <x v="914"/>
    <n v="19794.48"/>
    <n v="8"/>
    <n v="0.2"/>
    <n v="4351.4399999999996"/>
    <x v="1"/>
    <x v="1"/>
  </r>
  <r>
    <n v="1954"/>
    <x v="541"/>
    <d v="2025-11-08T00:00:00"/>
    <s v="C1188"/>
    <s v="Customer 118"/>
    <x v="2"/>
    <s v="Mumbai"/>
    <s v="Maharashtra"/>
    <x v="0"/>
    <x v="1"/>
    <s v="Chair"/>
    <x v="915"/>
    <n v="14336.63"/>
    <n v="2"/>
    <n v="0.25"/>
    <n v="-175.64"/>
    <x v="0"/>
    <x v="1"/>
  </r>
  <r>
    <n v="1955"/>
    <x v="87"/>
    <d v="2025-11-25T00:00:00"/>
    <s v="C1135"/>
    <s v="Customer 39"/>
    <x v="1"/>
    <s v="Patna"/>
    <s v="Bihar"/>
    <x v="3"/>
    <x v="1"/>
    <s v="Chair"/>
    <x v="916"/>
    <n v="85622.61"/>
    <n v="5"/>
    <n v="0.2"/>
    <n v="3725.66"/>
    <x v="7"/>
    <x v="3"/>
  </r>
  <r>
    <n v="1956"/>
    <x v="542"/>
    <d v="2025-01-13T00:00:00"/>
    <s v="C1096"/>
    <s v="Customer 215"/>
    <x v="1"/>
    <s v="Delhi"/>
    <s v="Delhi"/>
    <x v="1"/>
    <x v="0"/>
    <s v="Monitor"/>
    <x v="917"/>
    <n v="6395.07"/>
    <n v="3"/>
    <n v="0.15"/>
    <n v="340.25"/>
    <x v="6"/>
    <x v="1"/>
  </r>
  <r>
    <n v="1957"/>
    <x v="298"/>
    <d v="2025-02-08T00:00:00"/>
    <s v="C1144"/>
    <s v="Customer 9"/>
    <x v="1"/>
    <s v="Hyderabad"/>
    <s v="Telangana"/>
    <x v="2"/>
    <x v="0"/>
    <s v="Mouse"/>
    <x v="918"/>
    <n v="56366.99"/>
    <n v="9"/>
    <n v="0.3"/>
    <n v="9323.83"/>
    <x v="1"/>
    <x v="0"/>
  </r>
  <r>
    <n v="1958"/>
    <x v="543"/>
    <d v="2025-10-14T00:00:00"/>
    <s v="C1147"/>
    <s v="Customer 274"/>
    <x v="1"/>
    <s v="Bengaluru"/>
    <s v="Karnataka"/>
    <x v="2"/>
    <x v="2"/>
    <s v="Binder"/>
    <x v="919"/>
    <n v="73999.53"/>
    <n v="1"/>
    <n v="0.05"/>
    <n v="17762.98"/>
    <x v="2"/>
    <x v="0"/>
  </r>
  <r>
    <n v="1959"/>
    <x v="359"/>
    <d v="2025-01-02T00:00:00"/>
    <s v="C1232"/>
    <s v="Customer 117"/>
    <x v="2"/>
    <s v="Patna"/>
    <s v="Bihar"/>
    <x v="3"/>
    <x v="2"/>
    <s v="Notebook"/>
    <x v="353"/>
    <n v="29954.55"/>
    <n v="5"/>
    <n v="0"/>
    <n v="5340.68"/>
    <x v="4"/>
    <x v="3"/>
  </r>
  <r>
    <n v="1960"/>
    <x v="429"/>
    <d v="2024-12-07T00:00:00"/>
    <s v="C1242"/>
    <s v="Customer 89"/>
    <x v="2"/>
    <s v="Bhubaneswar"/>
    <s v="Odisha"/>
    <x v="3"/>
    <x v="0"/>
    <s v="Monitor"/>
    <x v="920"/>
    <n v="10451.94"/>
    <n v="4"/>
    <n v="0.15"/>
    <n v="2083.69"/>
    <x v="5"/>
    <x v="0"/>
  </r>
  <r>
    <n v="1961"/>
    <x v="256"/>
    <d v="2024-01-19T00:00:00"/>
    <s v="C1113"/>
    <s v="Customer 25"/>
    <x v="0"/>
    <s v="Bengaluru"/>
    <s v="Karnataka"/>
    <x v="2"/>
    <x v="2"/>
    <s v="Notebook"/>
    <x v="921"/>
    <n v="73897.58"/>
    <n v="6"/>
    <n v="0.1"/>
    <n v="16520.68"/>
    <x v="2"/>
    <x v="1"/>
  </r>
  <r>
    <n v="1962"/>
    <x v="544"/>
    <d v="2025-02-10T00:00:00"/>
    <s v="C1179"/>
    <s v="Customer 24"/>
    <x v="1"/>
    <s v="Patna"/>
    <s v="Bihar"/>
    <x v="3"/>
    <x v="0"/>
    <s v="Mouse"/>
    <x v="922"/>
    <n v="6255.88"/>
    <n v="3"/>
    <n v="0.15"/>
    <n v="1032.1300000000001"/>
    <x v="1"/>
    <x v="1"/>
  </r>
  <r>
    <n v="1963"/>
    <x v="307"/>
    <d v="2025-07-16T00:00:00"/>
    <s v="C1080"/>
    <s v="Customer 261"/>
    <x v="0"/>
    <s v="Bhubaneswar"/>
    <s v="Odisha"/>
    <x v="3"/>
    <x v="2"/>
    <s v="Paper"/>
    <x v="923"/>
    <n v="69633.45"/>
    <n v="7"/>
    <n v="0.2"/>
    <n v="8515.75"/>
    <x v="7"/>
    <x v="1"/>
  </r>
  <r>
    <n v="1964"/>
    <x v="419"/>
    <d v="2025-05-12T00:00:00"/>
    <s v="C1256"/>
    <s v="Customer 278"/>
    <x v="0"/>
    <s v="Kolkata"/>
    <s v="West Bengal"/>
    <x v="3"/>
    <x v="2"/>
    <s v="Storage"/>
    <x v="924"/>
    <n v="27852.65"/>
    <n v="1"/>
    <n v="0.05"/>
    <n v="5021.1099999999997"/>
    <x v="6"/>
    <x v="1"/>
  </r>
  <r>
    <n v="1965"/>
    <x v="189"/>
    <d v="2024-04-06T00:00:00"/>
    <s v="C1046"/>
    <s v="Customer 181"/>
    <x v="2"/>
    <s v="Mumbai"/>
    <s v="Maharashtra"/>
    <x v="0"/>
    <x v="0"/>
    <s v="Laptop"/>
    <x v="925"/>
    <n v="65334.18"/>
    <n v="7"/>
    <n v="0.2"/>
    <n v="7425.2"/>
    <x v="4"/>
    <x v="3"/>
  </r>
  <r>
    <n v="1966"/>
    <x v="249"/>
    <d v="2025-06-17T00:00:00"/>
    <s v="C1250"/>
    <s v="Customer 8"/>
    <x v="0"/>
    <s v="Chennai"/>
    <s v="Tamil Nadu"/>
    <x v="2"/>
    <x v="1"/>
    <s v="Sofa"/>
    <x v="926"/>
    <n v="26628.34"/>
    <n v="1"/>
    <n v="0.05"/>
    <n v="7120.83"/>
    <x v="7"/>
    <x v="0"/>
  </r>
  <r>
    <n v="1967"/>
    <x v="532"/>
    <d v="2025-12-08T00:00:00"/>
    <s v="C1109"/>
    <s v="Customer 10"/>
    <x v="0"/>
    <s v="Ahmedabad"/>
    <s v="Gujarat"/>
    <x v="0"/>
    <x v="1"/>
    <s v="Table"/>
    <x v="927"/>
    <n v="1089.6300000000001"/>
    <n v="10"/>
    <n v="0.1"/>
    <n v="54.15"/>
    <x v="3"/>
    <x v="2"/>
  </r>
  <r>
    <n v="1968"/>
    <x v="489"/>
    <d v="2025-03-14T00:00:00"/>
    <s v="C1175"/>
    <s v="Customer 227"/>
    <x v="1"/>
    <s v="Chennai"/>
    <s v="Tamil Nadu"/>
    <x v="2"/>
    <x v="2"/>
    <s v="Pen"/>
    <x v="928"/>
    <n v="26077.9"/>
    <n v="2"/>
    <n v="0.05"/>
    <n v="4629.45"/>
    <x v="0"/>
    <x v="1"/>
  </r>
  <r>
    <n v="1969"/>
    <x v="545"/>
    <d v="2024-05-13T00:00:00"/>
    <s v="C1134"/>
    <s v="Customer 37"/>
    <x v="1"/>
    <s v="Mumbai"/>
    <s v="Maharashtra"/>
    <x v="0"/>
    <x v="1"/>
    <s v="Chair"/>
    <x v="929"/>
    <n v="56611.56"/>
    <n v="4"/>
    <n v="0.1"/>
    <n v="8423.7099999999991"/>
    <x v="7"/>
    <x v="3"/>
  </r>
  <r>
    <n v="1970"/>
    <x v="546"/>
    <d v="2024-05-10T00:00:00"/>
    <s v="C1078"/>
    <s v="Customer 4"/>
    <x v="2"/>
    <s v="Pune"/>
    <s v="Maharashtra"/>
    <x v="0"/>
    <x v="1"/>
    <s v="Bookcase"/>
    <x v="258"/>
    <n v="34610.480000000003"/>
    <n v="1"/>
    <n v="0.15"/>
    <n v="8241.7000000000007"/>
    <x v="3"/>
    <x v="1"/>
  </r>
  <r>
    <n v="1971"/>
    <x v="547"/>
    <d v="2024-07-23T00:00:00"/>
    <s v="C1268"/>
    <s v="Customer 176"/>
    <x v="0"/>
    <s v="Patna"/>
    <s v="Bihar"/>
    <x v="3"/>
    <x v="0"/>
    <s v="Keyboard"/>
    <x v="930"/>
    <n v="23466.19"/>
    <n v="4"/>
    <n v="0.25"/>
    <n v="1978.28"/>
    <x v="5"/>
    <x v="3"/>
  </r>
  <r>
    <n v="1972"/>
    <x v="210"/>
    <d v="2025-06-27T00:00:00"/>
    <s v="C1229"/>
    <s v="Customer 136"/>
    <x v="2"/>
    <s v="Bhubaneswar"/>
    <s v="Odisha"/>
    <x v="3"/>
    <x v="0"/>
    <s v="Keyboard"/>
    <x v="931"/>
    <n v="2725.66"/>
    <n v="3"/>
    <n v="0"/>
    <n v="629.12"/>
    <x v="6"/>
    <x v="1"/>
  </r>
  <r>
    <n v="1973"/>
    <x v="495"/>
    <d v="2025-08-05T00:00:00"/>
    <s v="C1150"/>
    <s v="Customer 105"/>
    <x v="0"/>
    <s v="Kolkata"/>
    <s v="West Bengal"/>
    <x v="3"/>
    <x v="2"/>
    <s v="Binder"/>
    <x v="932"/>
    <n v="20294.759999999998"/>
    <n v="4"/>
    <n v="0.2"/>
    <n v="945.43"/>
    <x v="7"/>
    <x v="3"/>
  </r>
  <r>
    <n v="1974"/>
    <x v="156"/>
    <d v="2025-06-24T00:00:00"/>
    <s v="C1008"/>
    <s v="Customer 10"/>
    <x v="2"/>
    <s v="Patna"/>
    <s v="Bihar"/>
    <x v="3"/>
    <x v="2"/>
    <s v="Paper"/>
    <x v="933"/>
    <n v="69710.77"/>
    <n v="5"/>
    <n v="0.05"/>
    <n v="6689.06"/>
    <x v="6"/>
    <x v="3"/>
  </r>
  <r>
    <n v="1975"/>
    <x v="227"/>
    <d v="2025-09-02T00:00:00"/>
    <s v="C1160"/>
    <s v="Customer 163"/>
    <x v="1"/>
    <s v="Hyderabad"/>
    <s v="Telangana"/>
    <x v="2"/>
    <x v="0"/>
    <s v="Keyboard"/>
    <x v="934"/>
    <n v="80581.8"/>
    <n v="9"/>
    <n v="0.1"/>
    <n v="8446.26"/>
    <x v="6"/>
    <x v="3"/>
  </r>
  <r>
    <n v="1976"/>
    <x v="96"/>
    <d v="2024-07-02T00:00:00"/>
    <s v="C1069"/>
    <s v="Customer 290"/>
    <x v="1"/>
    <s v="Pune"/>
    <s v="Maharashtra"/>
    <x v="0"/>
    <x v="2"/>
    <s v="Paper"/>
    <x v="935"/>
    <n v="64058.33"/>
    <n v="4"/>
    <n v="0.15"/>
    <n v="3780.13"/>
    <x v="0"/>
    <x v="1"/>
  </r>
  <r>
    <n v="1977"/>
    <x v="548"/>
    <d v="2025-12-29T00:00:00"/>
    <s v="C1142"/>
    <s v="Customer 61"/>
    <x v="0"/>
    <s v="Bhubaneswar"/>
    <s v="Odisha"/>
    <x v="3"/>
    <x v="1"/>
    <s v="Table"/>
    <x v="936"/>
    <n v="30959.34"/>
    <n v="9"/>
    <n v="0.25"/>
    <n v="821.05"/>
    <x v="2"/>
    <x v="1"/>
  </r>
  <r>
    <n v="1978"/>
    <x v="349"/>
    <d v="2024-01-26T00:00:00"/>
    <s v="C1293"/>
    <s v="Customer 103"/>
    <x v="1"/>
    <s v="Jaipur"/>
    <s v="Rajasthan"/>
    <x v="1"/>
    <x v="2"/>
    <s v="Notebook"/>
    <x v="937"/>
    <n v="11029.89"/>
    <n v="7"/>
    <n v="0.25"/>
    <n v="43.71"/>
    <x v="0"/>
    <x v="0"/>
  </r>
  <r>
    <n v="1979"/>
    <x v="6"/>
    <d v="2024-11-06T00:00:00"/>
    <s v="C1289"/>
    <s v="Customer 281"/>
    <x v="1"/>
    <s v="Ahmedabad"/>
    <s v="Gujarat"/>
    <x v="0"/>
    <x v="2"/>
    <s v="Paper"/>
    <x v="938"/>
    <n v="89519.75"/>
    <n v="10"/>
    <n v="0"/>
    <n v="22171.79"/>
    <x v="4"/>
    <x v="1"/>
  </r>
  <r>
    <n v="1980"/>
    <x v="549"/>
    <d v="2025-01-02T00:00:00"/>
    <s v="C1195"/>
    <s v="Customer 29"/>
    <x v="1"/>
    <s v="Lucknow"/>
    <s v="Uttar Pradesh"/>
    <x v="1"/>
    <x v="2"/>
    <s v="Paper"/>
    <x v="418"/>
    <n v="70775.45"/>
    <n v="10"/>
    <n v="0.1"/>
    <n v="16330.85"/>
    <x v="3"/>
    <x v="0"/>
  </r>
  <r>
    <n v="1981"/>
    <x v="228"/>
    <d v="2025-05-13T00:00:00"/>
    <s v="C1048"/>
    <s v="Customer 281"/>
    <x v="0"/>
    <s v="Hyderabad"/>
    <s v="Telangana"/>
    <x v="2"/>
    <x v="0"/>
    <s v="Phone"/>
    <x v="939"/>
    <n v="2973.09"/>
    <n v="5"/>
    <n v="0"/>
    <n v="354.59"/>
    <x v="2"/>
    <x v="2"/>
  </r>
  <r>
    <n v="1982"/>
    <x v="550"/>
    <d v="2025-06-20T00:00:00"/>
    <s v="C1009"/>
    <s v="Customer 59"/>
    <x v="0"/>
    <s v="Jaipur"/>
    <s v="Rajasthan"/>
    <x v="1"/>
    <x v="2"/>
    <s v="Pen"/>
    <x v="940"/>
    <n v="77008.88"/>
    <n v="8"/>
    <n v="0.2"/>
    <n v="15964.65"/>
    <x v="4"/>
    <x v="3"/>
  </r>
  <r>
    <n v="1983"/>
    <x v="551"/>
    <d v="2024-04-02T00:00:00"/>
    <s v="C1271"/>
    <s v="Customer 294"/>
    <x v="2"/>
    <s v="Chennai"/>
    <s v="Tamil Nadu"/>
    <x v="2"/>
    <x v="1"/>
    <s v="Table"/>
    <x v="941"/>
    <n v="65484.639999999999"/>
    <n v="3"/>
    <n v="0.05"/>
    <n v="9511.02"/>
    <x v="0"/>
    <x v="3"/>
  </r>
  <r>
    <n v="1984"/>
    <x v="21"/>
    <d v="2024-07-31T00:00:00"/>
    <s v="C1286"/>
    <s v="Customer 142"/>
    <x v="1"/>
    <s v="Mumbai"/>
    <s v="Maharashtra"/>
    <x v="0"/>
    <x v="1"/>
    <s v="Sofa"/>
    <x v="942"/>
    <n v="14214.99"/>
    <n v="3"/>
    <n v="0.25"/>
    <n v="2062.6799999999998"/>
    <x v="1"/>
    <x v="0"/>
  </r>
  <r>
    <n v="1985"/>
    <x v="552"/>
    <d v="2024-04-06T00:00:00"/>
    <s v="C1137"/>
    <s v="Customer 192"/>
    <x v="0"/>
    <s v="Chennai"/>
    <s v="Tamil Nadu"/>
    <x v="2"/>
    <x v="1"/>
    <s v="Sofa"/>
    <x v="943"/>
    <n v="59997.82"/>
    <n v="3"/>
    <n v="0.05"/>
    <n v="3993.04"/>
    <x v="3"/>
    <x v="2"/>
  </r>
  <r>
    <n v="1986"/>
    <x v="59"/>
    <d v="2025-08-11T00:00:00"/>
    <s v="C1043"/>
    <s v="Customer 235"/>
    <x v="1"/>
    <s v="Hyderabad"/>
    <s v="Telangana"/>
    <x v="2"/>
    <x v="2"/>
    <s v="Storage"/>
    <x v="944"/>
    <n v="51359.79"/>
    <n v="6"/>
    <n v="0"/>
    <n v="9084.18"/>
    <x v="0"/>
    <x v="3"/>
  </r>
  <r>
    <n v="1987"/>
    <x v="553"/>
    <d v="2025-07-20T00:00:00"/>
    <s v="C1044"/>
    <s v="Customer 8"/>
    <x v="1"/>
    <s v="Delhi"/>
    <s v="Delhi"/>
    <x v="1"/>
    <x v="0"/>
    <s v="Laptop"/>
    <x v="945"/>
    <n v="71015.199999999997"/>
    <n v="1"/>
    <n v="0.05"/>
    <n v="9044.2099999999991"/>
    <x v="6"/>
    <x v="3"/>
  </r>
  <r>
    <n v="1988"/>
    <x v="400"/>
    <d v="2024-11-28T00:00:00"/>
    <s v="C1181"/>
    <s v="Customer 146"/>
    <x v="0"/>
    <s v="Kolkata"/>
    <s v="West Bengal"/>
    <x v="3"/>
    <x v="0"/>
    <s v="Laptop"/>
    <x v="84"/>
    <n v="22851.200000000001"/>
    <n v="5"/>
    <n v="0.3"/>
    <n v="3378.7"/>
    <x v="0"/>
    <x v="3"/>
  </r>
  <r>
    <n v="1989"/>
    <x v="72"/>
    <d v="2025-01-31T00:00:00"/>
    <s v="C1189"/>
    <s v="Customer 295"/>
    <x v="1"/>
    <s v="Lucknow"/>
    <s v="Uttar Pradesh"/>
    <x v="1"/>
    <x v="0"/>
    <s v="Phone"/>
    <x v="946"/>
    <n v="68698.759999999995"/>
    <n v="8"/>
    <n v="0"/>
    <n v="19002.189999999999"/>
    <x v="2"/>
    <x v="1"/>
  </r>
  <r>
    <n v="1990"/>
    <x v="554"/>
    <d v="2025-10-21T00:00:00"/>
    <s v="C1150"/>
    <s v="Customer 84"/>
    <x v="1"/>
    <s v="Mumbai"/>
    <s v="Maharashtra"/>
    <x v="0"/>
    <x v="2"/>
    <s v="Pen"/>
    <x v="947"/>
    <n v="46361.81"/>
    <n v="8"/>
    <n v="0.15"/>
    <n v="1160.6199999999999"/>
    <x v="7"/>
    <x v="3"/>
  </r>
  <r>
    <n v="1991"/>
    <x v="187"/>
    <d v="2025-03-14T00:00:00"/>
    <s v="C1229"/>
    <s v="Customer 24"/>
    <x v="0"/>
    <s v="Patna"/>
    <s v="Bihar"/>
    <x v="3"/>
    <x v="0"/>
    <s v="Mouse"/>
    <x v="948"/>
    <n v="33832.550000000003"/>
    <n v="6"/>
    <n v="0.2"/>
    <n v="263.39"/>
    <x v="0"/>
    <x v="3"/>
  </r>
  <r>
    <n v="1992"/>
    <x v="555"/>
    <d v="2024-07-22T00:00:00"/>
    <s v="C1289"/>
    <s v="Customer 93"/>
    <x v="1"/>
    <s v="Lucknow"/>
    <s v="Uttar Pradesh"/>
    <x v="1"/>
    <x v="1"/>
    <s v="Bookcase"/>
    <x v="949"/>
    <n v="74700.899999999994"/>
    <n v="3"/>
    <n v="0.3"/>
    <n v="12906.43"/>
    <x v="1"/>
    <x v="2"/>
  </r>
  <r>
    <n v="1993"/>
    <x v="492"/>
    <d v="2025-06-01T00:00:00"/>
    <s v="C1270"/>
    <s v="Customer 229"/>
    <x v="1"/>
    <s v="Ahmedabad"/>
    <s v="Gujarat"/>
    <x v="0"/>
    <x v="0"/>
    <s v="Laptop"/>
    <x v="313"/>
    <n v="83406.8"/>
    <n v="8"/>
    <n v="0.05"/>
    <n v="7531.58"/>
    <x v="4"/>
    <x v="1"/>
  </r>
  <r>
    <n v="1994"/>
    <x v="4"/>
    <d v="2024-07-16T00:00:00"/>
    <s v="C1292"/>
    <s v="Customer 252"/>
    <x v="0"/>
    <s v="Jaipur"/>
    <s v="Rajasthan"/>
    <x v="1"/>
    <x v="1"/>
    <s v="Bookcase"/>
    <x v="950"/>
    <n v="35233.46"/>
    <n v="3"/>
    <n v="0.25"/>
    <n v="-488.34"/>
    <x v="4"/>
    <x v="3"/>
  </r>
  <r>
    <n v="1995"/>
    <x v="480"/>
    <d v="2024-11-08T00:00:00"/>
    <s v="C1090"/>
    <s v="Customer 36"/>
    <x v="1"/>
    <s v="Kolkata"/>
    <s v="West Bengal"/>
    <x v="3"/>
    <x v="0"/>
    <s v="Phone"/>
    <x v="951"/>
    <n v="73877.259999999995"/>
    <n v="4"/>
    <n v="0.2"/>
    <n v="2361"/>
    <x v="2"/>
    <x v="3"/>
  </r>
  <r>
    <n v="1996"/>
    <x v="183"/>
    <d v="2024-05-27T00:00:00"/>
    <s v="C1248"/>
    <s v="Customer 280"/>
    <x v="2"/>
    <s v="Hyderabad"/>
    <s v="Telangana"/>
    <x v="2"/>
    <x v="1"/>
    <s v="Table"/>
    <x v="952"/>
    <n v="83320.77"/>
    <n v="4"/>
    <n v="0"/>
    <n v="12156.12"/>
    <x v="7"/>
    <x v="3"/>
  </r>
  <r>
    <n v="1997"/>
    <x v="355"/>
    <d v="2025-01-05T00:00:00"/>
    <s v="C1052"/>
    <s v="Customer 74"/>
    <x v="2"/>
    <s v="Mumbai"/>
    <s v="Maharashtra"/>
    <x v="0"/>
    <x v="2"/>
    <s v="Notebook"/>
    <x v="953"/>
    <n v="57569.07"/>
    <n v="2"/>
    <n v="0.1"/>
    <n v="5557.11"/>
    <x v="5"/>
    <x v="0"/>
  </r>
  <r>
    <n v="1998"/>
    <x v="269"/>
    <d v="2025-05-31T00:00:00"/>
    <s v="C1198"/>
    <s v="Customer 282"/>
    <x v="0"/>
    <s v="Jaipur"/>
    <s v="Rajasthan"/>
    <x v="1"/>
    <x v="1"/>
    <s v="Chair"/>
    <x v="954"/>
    <n v="42248.959999999999"/>
    <n v="6"/>
    <n v="0.1"/>
    <n v="9212.59"/>
    <x v="7"/>
    <x v="3"/>
  </r>
  <r>
    <n v="1999"/>
    <x v="181"/>
    <d v="2024-06-15T00:00:00"/>
    <s v="C1031"/>
    <s v="Customer 286"/>
    <x v="2"/>
    <s v="Hyderabad"/>
    <s v="Telangana"/>
    <x v="2"/>
    <x v="2"/>
    <s v="Binder"/>
    <x v="955"/>
    <n v="28774.639999999999"/>
    <n v="4"/>
    <n v="0.1"/>
    <n v="6198.63"/>
    <x v="0"/>
    <x v="3"/>
  </r>
  <r>
    <n v="2000"/>
    <x v="62"/>
    <d v="2024-05-04T00:00:00"/>
    <s v="C1215"/>
    <s v="Customer 125"/>
    <x v="0"/>
    <s v="Lucknow"/>
    <s v="Uttar Pradesh"/>
    <x v="1"/>
    <x v="0"/>
    <s v="Mouse"/>
    <x v="956"/>
    <n v="54016.11"/>
    <n v="2"/>
    <n v="0"/>
    <n v="10794.21"/>
    <x v="6"/>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8031B7-569D-45E9-AF54-303CA1B23DA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H7" firstHeaderRow="1" firstDataRow="1" firstDataCol="1"/>
  <pivotFields count="20">
    <pivotField showAll="0"/>
    <pivotField numFmtId="14" showAll="0">
      <items count="557">
        <item x="427"/>
        <item x="9"/>
        <item x="308"/>
        <item x="270"/>
        <item x="392"/>
        <item x="389"/>
        <item x="350"/>
        <item x="437"/>
        <item x="177"/>
        <item x="476"/>
        <item x="292"/>
        <item x="256"/>
        <item x="346"/>
        <item x="231"/>
        <item x="322"/>
        <item x="14"/>
        <item x="349"/>
        <item x="37"/>
        <item x="457"/>
        <item x="279"/>
        <item x="36"/>
        <item x="442"/>
        <item x="287"/>
        <item x="223"/>
        <item x="365"/>
        <item x="537"/>
        <item x="224"/>
        <item x="455"/>
        <item x="281"/>
        <item x="382"/>
        <item x="280"/>
        <item x="295"/>
        <item x="411"/>
        <item x="484"/>
        <item x="276"/>
        <item x="265"/>
        <item x="540"/>
        <item x="361"/>
        <item x="202"/>
        <item x="106"/>
        <item x="162"/>
        <item x="510"/>
        <item x="145"/>
        <item x="509"/>
        <item x="479"/>
        <item x="89"/>
        <item x="164"/>
        <item x="199"/>
        <item x="73"/>
        <item x="521"/>
        <item x="78"/>
        <item x="22"/>
        <item x="285"/>
        <item x="30"/>
        <item x="239"/>
        <item x="74"/>
        <item x="494"/>
        <item x="472"/>
        <item x="407"/>
        <item x="186"/>
        <item x="53"/>
        <item x="299"/>
        <item x="129"/>
        <item x="132"/>
        <item x="266"/>
        <item x="409"/>
        <item x="387"/>
        <item x="345"/>
        <item x="438"/>
        <item x="493"/>
        <item x="511"/>
        <item x="551"/>
        <item x="189"/>
        <item x="528"/>
        <item x="552"/>
        <item x="486"/>
        <item x="194"/>
        <item x="502"/>
        <item x="453"/>
        <item x="258"/>
        <item x="221"/>
        <item x="504"/>
        <item x="34"/>
        <item x="91"/>
        <item x="310"/>
        <item x="237"/>
        <item x="525"/>
        <item x="539"/>
        <item x="69"/>
        <item x="62"/>
        <item x="18"/>
        <item x="314"/>
        <item x="546"/>
        <item x="138"/>
        <item x="357"/>
        <item x="290"/>
        <item x="384"/>
        <item x="545"/>
        <item x="360"/>
        <item x="474"/>
        <item x="193"/>
        <item x="151"/>
        <item x="115"/>
        <item x="61"/>
        <item x="520"/>
        <item x="183"/>
        <item x="368"/>
        <item x="203"/>
        <item x="104"/>
        <item x="243"/>
        <item x="80"/>
        <item x="300"/>
        <item x="304"/>
        <item x="122"/>
        <item x="55"/>
        <item x="288"/>
        <item x="527"/>
        <item x="200"/>
        <item x="181"/>
        <item x="375"/>
        <item x="191"/>
        <item x="82"/>
        <item x="444"/>
        <item x="154"/>
        <item x="149"/>
        <item x="103"/>
        <item x="142"/>
        <item x="161"/>
        <item x="105"/>
        <item x="524"/>
        <item x="321"/>
        <item x="96"/>
        <item x="410"/>
        <item x="461"/>
        <item x="323"/>
        <item x="475"/>
        <item x="352"/>
        <item x="470"/>
        <item x="440"/>
        <item x="39"/>
        <item x="379"/>
        <item x="4"/>
        <item x="110"/>
        <item x="413"/>
        <item x="490"/>
        <item x="555"/>
        <item x="547"/>
        <item x="16"/>
        <item x="21"/>
        <item x="514"/>
        <item x="31"/>
        <item x="536"/>
        <item x="26"/>
        <item x="401"/>
        <item x="125"/>
        <item x="244"/>
        <item x="394"/>
        <item x="306"/>
        <item x="124"/>
        <item x="15"/>
        <item x="58"/>
        <item x="17"/>
        <item x="24"/>
        <item x="114"/>
        <item x="329"/>
        <item x="313"/>
        <item x="462"/>
        <item x="324"/>
        <item x="141"/>
        <item x="71"/>
        <item x="11"/>
        <item x="118"/>
        <item x="512"/>
        <item x="236"/>
        <item x="386"/>
        <item x="215"/>
        <item x="225"/>
        <item x="211"/>
        <item x="340"/>
        <item x="173"/>
        <item x="485"/>
        <item x="257"/>
        <item x="255"/>
        <item x="296"/>
        <item x="434"/>
        <item x="3"/>
        <item x="315"/>
        <item x="418"/>
        <item x="515"/>
        <item x="204"/>
        <item x="293"/>
        <item x="416"/>
        <item x="8"/>
        <item x="12"/>
        <item x="229"/>
        <item x="344"/>
        <item x="165"/>
        <item x="393"/>
        <item x="273"/>
        <item x="358"/>
        <item x="97"/>
        <item x="27"/>
        <item x="534"/>
        <item x="268"/>
        <item x="388"/>
        <item x="57"/>
        <item x="330"/>
        <item x="488"/>
        <item x="482"/>
        <item x="487"/>
        <item x="421"/>
        <item x="286"/>
        <item x="128"/>
        <item x="267"/>
        <item x="498"/>
        <item x="464"/>
        <item x="143"/>
        <item x="197"/>
        <item x="272"/>
        <item x="449"/>
        <item x="113"/>
        <item x="383"/>
        <item x="250"/>
        <item x="20"/>
        <item x="341"/>
        <item x="381"/>
        <item x="402"/>
        <item x="6"/>
        <item x="480"/>
        <item x="241"/>
        <item x="278"/>
        <item x="79"/>
        <item x="499"/>
        <item x="328"/>
        <item x="481"/>
        <item x="496"/>
        <item x="98"/>
        <item x="234"/>
        <item x="107"/>
        <item x="95"/>
        <item x="81"/>
        <item x="372"/>
        <item x="400"/>
        <item x="348"/>
        <item x="159"/>
        <item x="144"/>
        <item x="309"/>
        <item x="168"/>
        <item x="190"/>
        <item x="316"/>
        <item x="429"/>
        <item x="398"/>
        <item x="169"/>
        <item x="471"/>
        <item x="60"/>
        <item x="500"/>
        <item x="332"/>
        <item x="454"/>
        <item x="50"/>
        <item x="65"/>
        <item x="135"/>
        <item x="230"/>
        <item x="38"/>
        <item x="274"/>
        <item x="456"/>
        <item x="428"/>
        <item x="127"/>
        <item x="450"/>
        <item x="406"/>
        <item x="468"/>
        <item x="171"/>
        <item x="446"/>
        <item x="549"/>
        <item x="439"/>
        <item x="359"/>
        <item x="355"/>
        <item x="133"/>
        <item x="283"/>
        <item x="353"/>
        <item x="338"/>
        <item x="458"/>
        <item x="49"/>
        <item x="436"/>
        <item x="302"/>
        <item x="90"/>
        <item x="542"/>
        <item x="208"/>
        <item x="431"/>
        <item x="46"/>
        <item x="501"/>
        <item x="166"/>
        <item x="163"/>
        <item x="52"/>
        <item x="326"/>
        <item x="425"/>
        <item x="72"/>
        <item x="201"/>
        <item x="298"/>
        <item x="45"/>
        <item x="63"/>
        <item x="544"/>
        <item x="112"/>
        <item x="214"/>
        <item x="175"/>
        <item x="391"/>
        <item x="289"/>
        <item x="467"/>
        <item x="235"/>
        <item x="469"/>
        <item x="373"/>
        <item x="506"/>
        <item x="342"/>
        <item x="339"/>
        <item x="209"/>
        <item x="42"/>
        <item x="325"/>
        <item x="0"/>
        <item x="213"/>
        <item x="170"/>
        <item x="441"/>
        <item x="351"/>
        <item x="187"/>
        <item x="489"/>
        <item x="311"/>
        <item x="371"/>
        <item x="75"/>
        <item x="443"/>
        <item x="245"/>
        <item x="531"/>
        <item x="10"/>
        <item x="291"/>
        <item x="447"/>
        <item x="380"/>
        <item x="334"/>
        <item x="262"/>
        <item x="519"/>
        <item x="364"/>
        <item x="497"/>
        <item x="94"/>
        <item x="67"/>
        <item x="130"/>
        <item x="508"/>
        <item x="433"/>
        <item x="399"/>
        <item x="205"/>
        <item x="56"/>
        <item x="420"/>
        <item x="111"/>
        <item x="121"/>
        <item x="347"/>
        <item x="219"/>
        <item x="408"/>
        <item x="530"/>
        <item x="473"/>
        <item x="40"/>
        <item x="337"/>
        <item x="403"/>
        <item x="465"/>
        <item x="251"/>
        <item x="333"/>
        <item x="83"/>
        <item x="463"/>
        <item x="430"/>
        <item x="86"/>
        <item x="263"/>
        <item x="369"/>
        <item x="363"/>
        <item x="167"/>
        <item x="158"/>
        <item x="41"/>
        <item x="419"/>
        <item x="228"/>
        <item x="376"/>
        <item x="68"/>
        <item x="477"/>
        <item x="7"/>
        <item x="77"/>
        <item x="483"/>
        <item x="460"/>
        <item x="116"/>
        <item x="137"/>
        <item x="5"/>
        <item x="25"/>
        <item x="93"/>
        <item x="117"/>
        <item x="269"/>
        <item x="492"/>
        <item x="180"/>
        <item x="222"/>
        <item x="233"/>
        <item x="435"/>
        <item x="277"/>
        <item x="29"/>
        <item x="19"/>
        <item x="198"/>
        <item x="354"/>
        <item x="248"/>
        <item x="178"/>
        <item x="249"/>
        <item x="260"/>
        <item x="550"/>
        <item x="156"/>
        <item x="218"/>
        <item x="212"/>
        <item x="247"/>
        <item x="108"/>
        <item x="216"/>
        <item x="210"/>
        <item x="271"/>
        <item x="466"/>
        <item x="184"/>
        <item x="242"/>
        <item x="254"/>
        <item x="92"/>
        <item x="432"/>
        <item x="331"/>
        <item x="179"/>
        <item x="119"/>
        <item x="507"/>
        <item x="307"/>
        <item x="318"/>
        <item x="397"/>
        <item x="196"/>
        <item x="553"/>
        <item x="66"/>
        <item x="188"/>
        <item x="54"/>
        <item x="157"/>
        <item x="517"/>
        <item x="390"/>
        <item x="101"/>
        <item x="516"/>
        <item x="297"/>
        <item x="529"/>
        <item x="294"/>
        <item x="495"/>
        <item x="404"/>
        <item x="59"/>
        <item x="414"/>
        <item x="182"/>
        <item x="160"/>
        <item x="185"/>
        <item x="207"/>
        <item x="109"/>
        <item x="356"/>
        <item x="220"/>
        <item x="505"/>
        <item x="312"/>
        <item x="385"/>
        <item x="261"/>
        <item x="445"/>
        <item x="335"/>
        <item x="238"/>
        <item x="377"/>
        <item x="155"/>
        <item x="35"/>
        <item x="227"/>
        <item x="301"/>
        <item x="88"/>
        <item x="153"/>
        <item x="48"/>
        <item x="148"/>
        <item x="533"/>
        <item x="367"/>
        <item x="136"/>
        <item x="317"/>
        <item x="246"/>
        <item x="370"/>
        <item x="2"/>
        <item x="126"/>
        <item x="240"/>
        <item x="518"/>
        <item x="51"/>
        <item x="174"/>
        <item x="282"/>
        <item x="459"/>
        <item x="85"/>
        <item x="336"/>
        <item x="478"/>
        <item x="232"/>
        <item x="535"/>
        <item x="396"/>
        <item x="217"/>
        <item x="415"/>
        <item x="412"/>
        <item x="23"/>
        <item x="176"/>
        <item x="327"/>
        <item x="395"/>
        <item x="150"/>
        <item x="543"/>
        <item x="253"/>
        <item x="538"/>
        <item x="140"/>
        <item x="554"/>
        <item x="131"/>
        <item x="422"/>
        <item x="1"/>
        <item x="451"/>
        <item x="491"/>
        <item x="146"/>
        <item x="426"/>
        <item x="374"/>
        <item x="405"/>
        <item x="70"/>
        <item x="320"/>
        <item x="120"/>
        <item x="541"/>
        <item x="343"/>
        <item x="452"/>
        <item x="43"/>
        <item x="47"/>
        <item x="172"/>
        <item x="275"/>
        <item x="99"/>
        <item x="152"/>
        <item x="139"/>
        <item x="378"/>
        <item x="87"/>
        <item x="64"/>
        <item x="526"/>
        <item x="134"/>
        <item x="147"/>
        <item x="423"/>
        <item x="102"/>
        <item x="76"/>
        <item x="13"/>
        <item x="366"/>
        <item x="195"/>
        <item x="417"/>
        <item x="264"/>
        <item x="32"/>
        <item x="192"/>
        <item x="259"/>
        <item x="532"/>
        <item x="206"/>
        <item x="305"/>
        <item x="362"/>
        <item x="448"/>
        <item x="100"/>
        <item x="226"/>
        <item x="522"/>
        <item x="252"/>
        <item x="284"/>
        <item x="303"/>
        <item x="84"/>
        <item x="503"/>
        <item x="33"/>
        <item x="28"/>
        <item x="424"/>
        <item x="44"/>
        <item x="513"/>
        <item x="123"/>
        <item x="548"/>
        <item x="523"/>
        <item x="319"/>
        <item t="default"/>
      </items>
    </pivotField>
    <pivotField numFmtId="14" showAll="0"/>
    <pivotField showAll="0"/>
    <pivotField showAll="0"/>
    <pivotField showAll="0">
      <items count="4">
        <item x="0"/>
        <item x="2"/>
        <item x="1"/>
        <item t="default"/>
      </items>
    </pivotField>
    <pivotField showAll="0"/>
    <pivotField showAll="0"/>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pivotField dataField="1" numFmtId="164" showAll="0"/>
    <pivotField showAll="0"/>
    <pivotField numFmtId="9" showAll="0"/>
    <pivotField numFmtId="164" showAll="0"/>
    <pivotField showAll="0">
      <items count="9">
        <item x="5"/>
        <item x="6"/>
        <item x="0"/>
        <item x="7"/>
        <item x="1"/>
        <item x="3"/>
        <item x="4"/>
        <item x="2"/>
        <item t="default"/>
      </items>
    </pivotField>
    <pivotField showAll="0">
      <items count="5">
        <item x="3"/>
        <item x="0"/>
        <item x="1"/>
        <item x="2"/>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8"/>
  </rowFields>
  <rowItems count="5">
    <i>
      <x/>
    </i>
    <i>
      <x v="2"/>
    </i>
    <i>
      <x v="1"/>
    </i>
    <i>
      <x v="3"/>
    </i>
    <i t="grand">
      <x/>
    </i>
  </rowItems>
  <colItems count="1">
    <i/>
  </colItems>
  <dataFields count="1">
    <dataField name="Sum of Sales" fld="1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B6DBF8-38EC-47A9-A897-F21AC7D0200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65:H74" firstHeaderRow="1" firstDataRow="1" firstDataCol="1"/>
  <pivotFields count="20">
    <pivotField showAll="0"/>
    <pivotField numFmtId="14" showAll="0">
      <items count="557">
        <item x="427"/>
        <item x="9"/>
        <item x="308"/>
        <item x="270"/>
        <item x="392"/>
        <item x="389"/>
        <item x="350"/>
        <item x="437"/>
        <item x="177"/>
        <item x="476"/>
        <item x="292"/>
        <item x="256"/>
        <item x="346"/>
        <item x="231"/>
        <item x="322"/>
        <item x="14"/>
        <item x="349"/>
        <item x="37"/>
        <item x="457"/>
        <item x="279"/>
        <item x="36"/>
        <item x="442"/>
        <item x="287"/>
        <item x="223"/>
        <item x="365"/>
        <item x="537"/>
        <item x="224"/>
        <item x="455"/>
        <item x="281"/>
        <item x="382"/>
        <item x="280"/>
        <item x="295"/>
        <item x="411"/>
        <item x="484"/>
        <item x="276"/>
        <item x="265"/>
        <item x="540"/>
        <item x="361"/>
        <item x="202"/>
        <item x="106"/>
        <item x="162"/>
        <item x="510"/>
        <item x="145"/>
        <item x="509"/>
        <item x="479"/>
        <item x="89"/>
        <item x="164"/>
        <item x="199"/>
        <item x="73"/>
        <item x="521"/>
        <item x="78"/>
        <item x="22"/>
        <item x="285"/>
        <item x="30"/>
        <item x="239"/>
        <item x="74"/>
        <item x="494"/>
        <item x="472"/>
        <item x="407"/>
        <item x="186"/>
        <item x="53"/>
        <item x="299"/>
        <item x="129"/>
        <item x="132"/>
        <item x="266"/>
        <item x="409"/>
        <item x="387"/>
        <item x="345"/>
        <item x="438"/>
        <item x="493"/>
        <item x="511"/>
        <item x="551"/>
        <item x="189"/>
        <item x="528"/>
        <item x="552"/>
        <item x="486"/>
        <item x="194"/>
        <item x="502"/>
        <item x="453"/>
        <item x="258"/>
        <item x="221"/>
        <item x="504"/>
        <item x="34"/>
        <item x="91"/>
        <item x="310"/>
        <item x="237"/>
        <item x="525"/>
        <item x="539"/>
        <item x="69"/>
        <item x="62"/>
        <item x="18"/>
        <item x="314"/>
        <item x="546"/>
        <item x="138"/>
        <item x="357"/>
        <item x="290"/>
        <item x="384"/>
        <item x="545"/>
        <item x="360"/>
        <item x="474"/>
        <item x="193"/>
        <item x="151"/>
        <item x="115"/>
        <item x="61"/>
        <item x="520"/>
        <item x="183"/>
        <item x="368"/>
        <item x="203"/>
        <item x="104"/>
        <item x="243"/>
        <item x="80"/>
        <item x="300"/>
        <item x="304"/>
        <item x="122"/>
        <item x="55"/>
        <item x="288"/>
        <item x="527"/>
        <item x="200"/>
        <item x="181"/>
        <item x="375"/>
        <item x="191"/>
        <item x="82"/>
        <item x="444"/>
        <item x="154"/>
        <item x="149"/>
        <item x="103"/>
        <item x="142"/>
        <item x="161"/>
        <item x="105"/>
        <item x="524"/>
        <item x="321"/>
        <item x="96"/>
        <item x="410"/>
        <item x="461"/>
        <item x="323"/>
        <item x="475"/>
        <item x="352"/>
        <item x="470"/>
        <item x="440"/>
        <item x="39"/>
        <item x="379"/>
        <item x="4"/>
        <item x="110"/>
        <item x="413"/>
        <item x="490"/>
        <item x="555"/>
        <item x="547"/>
        <item x="16"/>
        <item x="21"/>
        <item x="514"/>
        <item x="31"/>
        <item x="536"/>
        <item x="26"/>
        <item x="401"/>
        <item x="125"/>
        <item x="244"/>
        <item x="394"/>
        <item x="306"/>
        <item x="124"/>
        <item x="15"/>
        <item x="58"/>
        <item x="17"/>
        <item x="24"/>
        <item x="114"/>
        <item x="329"/>
        <item x="313"/>
        <item x="462"/>
        <item x="324"/>
        <item x="141"/>
        <item x="71"/>
        <item x="11"/>
        <item x="118"/>
        <item x="512"/>
        <item x="236"/>
        <item x="386"/>
        <item x="215"/>
        <item x="225"/>
        <item x="211"/>
        <item x="340"/>
        <item x="173"/>
        <item x="485"/>
        <item x="257"/>
        <item x="255"/>
        <item x="296"/>
        <item x="434"/>
        <item x="3"/>
        <item x="315"/>
        <item x="418"/>
        <item x="515"/>
        <item x="204"/>
        <item x="293"/>
        <item x="416"/>
        <item x="8"/>
        <item x="12"/>
        <item x="229"/>
        <item x="344"/>
        <item x="165"/>
        <item x="393"/>
        <item x="273"/>
        <item x="358"/>
        <item x="97"/>
        <item x="27"/>
        <item x="534"/>
        <item x="268"/>
        <item x="388"/>
        <item x="57"/>
        <item x="330"/>
        <item x="488"/>
        <item x="482"/>
        <item x="487"/>
        <item x="421"/>
        <item x="286"/>
        <item x="128"/>
        <item x="267"/>
        <item x="498"/>
        <item x="464"/>
        <item x="143"/>
        <item x="197"/>
        <item x="272"/>
        <item x="449"/>
        <item x="113"/>
        <item x="383"/>
        <item x="250"/>
        <item x="20"/>
        <item x="341"/>
        <item x="381"/>
        <item x="402"/>
        <item x="6"/>
        <item x="480"/>
        <item x="241"/>
        <item x="278"/>
        <item x="79"/>
        <item x="499"/>
        <item x="328"/>
        <item x="481"/>
        <item x="496"/>
        <item x="98"/>
        <item x="234"/>
        <item x="107"/>
        <item x="95"/>
        <item x="81"/>
        <item x="372"/>
        <item x="400"/>
        <item x="348"/>
        <item x="159"/>
        <item x="144"/>
        <item x="309"/>
        <item x="168"/>
        <item x="190"/>
        <item x="316"/>
        <item x="429"/>
        <item x="398"/>
        <item x="169"/>
        <item x="471"/>
        <item x="60"/>
        <item x="500"/>
        <item x="332"/>
        <item x="454"/>
        <item x="50"/>
        <item x="65"/>
        <item x="135"/>
        <item x="230"/>
        <item x="38"/>
        <item x="274"/>
        <item x="456"/>
        <item x="428"/>
        <item x="127"/>
        <item x="450"/>
        <item x="406"/>
        <item x="468"/>
        <item x="171"/>
        <item x="446"/>
        <item x="549"/>
        <item x="439"/>
        <item x="359"/>
        <item x="355"/>
        <item x="133"/>
        <item x="283"/>
        <item x="353"/>
        <item x="338"/>
        <item x="458"/>
        <item x="49"/>
        <item x="436"/>
        <item x="302"/>
        <item x="90"/>
        <item x="542"/>
        <item x="208"/>
        <item x="431"/>
        <item x="46"/>
        <item x="501"/>
        <item x="166"/>
        <item x="163"/>
        <item x="52"/>
        <item x="326"/>
        <item x="425"/>
        <item x="72"/>
        <item x="201"/>
        <item x="298"/>
        <item x="45"/>
        <item x="63"/>
        <item x="544"/>
        <item x="112"/>
        <item x="214"/>
        <item x="175"/>
        <item x="391"/>
        <item x="289"/>
        <item x="467"/>
        <item x="235"/>
        <item x="469"/>
        <item x="373"/>
        <item x="506"/>
        <item x="342"/>
        <item x="339"/>
        <item x="209"/>
        <item x="42"/>
        <item x="325"/>
        <item x="0"/>
        <item x="213"/>
        <item x="170"/>
        <item x="441"/>
        <item x="351"/>
        <item x="187"/>
        <item x="489"/>
        <item x="311"/>
        <item x="371"/>
        <item x="75"/>
        <item x="443"/>
        <item x="245"/>
        <item x="531"/>
        <item x="10"/>
        <item x="291"/>
        <item x="447"/>
        <item x="380"/>
        <item x="334"/>
        <item x="262"/>
        <item x="519"/>
        <item x="364"/>
        <item x="497"/>
        <item x="94"/>
        <item x="67"/>
        <item x="130"/>
        <item x="508"/>
        <item x="433"/>
        <item x="399"/>
        <item x="205"/>
        <item x="56"/>
        <item x="420"/>
        <item x="111"/>
        <item x="121"/>
        <item x="347"/>
        <item x="219"/>
        <item x="408"/>
        <item x="530"/>
        <item x="473"/>
        <item x="40"/>
        <item x="337"/>
        <item x="403"/>
        <item x="465"/>
        <item x="251"/>
        <item x="333"/>
        <item x="83"/>
        <item x="463"/>
        <item x="430"/>
        <item x="86"/>
        <item x="263"/>
        <item x="369"/>
        <item x="363"/>
        <item x="167"/>
        <item x="158"/>
        <item x="41"/>
        <item x="419"/>
        <item x="228"/>
        <item x="376"/>
        <item x="68"/>
        <item x="477"/>
        <item x="7"/>
        <item x="77"/>
        <item x="483"/>
        <item x="460"/>
        <item x="116"/>
        <item x="137"/>
        <item x="5"/>
        <item x="25"/>
        <item x="93"/>
        <item x="117"/>
        <item x="269"/>
        <item x="492"/>
        <item x="180"/>
        <item x="222"/>
        <item x="233"/>
        <item x="435"/>
        <item x="277"/>
        <item x="29"/>
        <item x="19"/>
        <item x="198"/>
        <item x="354"/>
        <item x="248"/>
        <item x="178"/>
        <item x="249"/>
        <item x="260"/>
        <item x="550"/>
        <item x="156"/>
        <item x="218"/>
        <item x="212"/>
        <item x="247"/>
        <item x="108"/>
        <item x="216"/>
        <item x="210"/>
        <item x="271"/>
        <item x="466"/>
        <item x="184"/>
        <item x="242"/>
        <item x="254"/>
        <item x="92"/>
        <item x="432"/>
        <item x="331"/>
        <item x="179"/>
        <item x="119"/>
        <item x="507"/>
        <item x="307"/>
        <item x="318"/>
        <item x="397"/>
        <item x="196"/>
        <item x="553"/>
        <item x="66"/>
        <item x="188"/>
        <item x="54"/>
        <item x="157"/>
        <item x="517"/>
        <item x="390"/>
        <item x="101"/>
        <item x="516"/>
        <item x="297"/>
        <item x="529"/>
        <item x="294"/>
        <item x="495"/>
        <item x="404"/>
        <item x="59"/>
        <item x="414"/>
        <item x="182"/>
        <item x="160"/>
        <item x="185"/>
        <item x="207"/>
        <item x="109"/>
        <item x="356"/>
        <item x="220"/>
        <item x="505"/>
        <item x="312"/>
        <item x="385"/>
        <item x="261"/>
        <item x="445"/>
        <item x="335"/>
        <item x="238"/>
        <item x="377"/>
        <item x="155"/>
        <item x="35"/>
        <item x="227"/>
        <item x="301"/>
        <item x="88"/>
        <item x="153"/>
        <item x="48"/>
        <item x="148"/>
        <item x="533"/>
        <item x="367"/>
        <item x="136"/>
        <item x="317"/>
        <item x="246"/>
        <item x="370"/>
        <item x="2"/>
        <item x="126"/>
        <item x="240"/>
        <item x="518"/>
        <item x="51"/>
        <item x="174"/>
        <item x="282"/>
        <item x="459"/>
        <item x="85"/>
        <item x="336"/>
        <item x="478"/>
        <item x="232"/>
        <item x="535"/>
        <item x="396"/>
        <item x="217"/>
        <item x="415"/>
        <item x="412"/>
        <item x="23"/>
        <item x="176"/>
        <item x="327"/>
        <item x="395"/>
        <item x="150"/>
        <item x="543"/>
        <item x="253"/>
        <item x="538"/>
        <item x="140"/>
        <item x="554"/>
        <item x="131"/>
        <item x="422"/>
        <item x="1"/>
        <item x="451"/>
        <item x="491"/>
        <item x="146"/>
        <item x="426"/>
        <item x="374"/>
        <item x="405"/>
        <item x="70"/>
        <item x="320"/>
        <item x="120"/>
        <item x="541"/>
        <item x="343"/>
        <item x="452"/>
        <item x="43"/>
        <item x="47"/>
        <item x="172"/>
        <item x="275"/>
        <item x="99"/>
        <item x="152"/>
        <item x="139"/>
        <item x="378"/>
        <item x="87"/>
        <item x="64"/>
        <item x="526"/>
        <item x="134"/>
        <item x="147"/>
        <item x="423"/>
        <item x="102"/>
        <item x="76"/>
        <item x="13"/>
        <item x="366"/>
        <item x="195"/>
        <item x="417"/>
        <item x="264"/>
        <item x="32"/>
        <item x="192"/>
        <item x="259"/>
        <item x="532"/>
        <item x="206"/>
        <item x="305"/>
        <item x="362"/>
        <item x="448"/>
        <item x="100"/>
        <item x="226"/>
        <item x="522"/>
        <item x="252"/>
        <item x="284"/>
        <item x="303"/>
        <item x="84"/>
        <item x="503"/>
        <item x="33"/>
        <item x="28"/>
        <item x="424"/>
        <item x="44"/>
        <item x="513"/>
        <item x="123"/>
        <item x="548"/>
        <item x="523"/>
        <item x="319"/>
        <item t="default"/>
      </items>
    </pivotField>
    <pivotField numFmtId="14" showAll="0"/>
    <pivotField showAll="0"/>
    <pivotField showAll="0"/>
    <pivotField showAll="0">
      <items count="4">
        <item x="0"/>
        <item x="2"/>
        <item x="1"/>
        <item t="default"/>
      </items>
    </pivotField>
    <pivotField showAll="0"/>
    <pivotField showAll="0"/>
    <pivotField showAll="0">
      <items count="5">
        <item x="3"/>
        <item x="1"/>
        <item x="2"/>
        <item x="0"/>
        <item t="default"/>
      </items>
    </pivotField>
    <pivotField showAll="0">
      <items count="4">
        <item x="1"/>
        <item x="2"/>
        <item x="0"/>
        <item t="default"/>
      </items>
    </pivotField>
    <pivotField showAll="0"/>
    <pivotField showAll="0">
      <items count="958">
        <item x="493"/>
        <item x="402"/>
        <item x="267"/>
        <item x="209"/>
        <item x="422"/>
        <item x="654"/>
        <item x="468"/>
        <item x="795"/>
        <item x="530"/>
        <item x="668"/>
        <item x="932"/>
        <item x="775"/>
        <item x="54"/>
        <item x="381"/>
        <item x="955"/>
        <item x="170"/>
        <item x="919"/>
        <item x="332"/>
        <item x="744"/>
        <item x="303"/>
        <item x="62"/>
        <item x="442"/>
        <item x="828"/>
        <item x="755"/>
        <item x="417"/>
        <item x="541"/>
        <item x="544"/>
        <item x="622"/>
        <item x="184"/>
        <item x="322"/>
        <item x="542"/>
        <item x="767"/>
        <item x="31"/>
        <item x="749"/>
        <item x="487"/>
        <item x="614"/>
        <item x="520"/>
        <item x="837"/>
        <item x="857"/>
        <item x="5"/>
        <item x="913"/>
        <item x="686"/>
        <item x="125"/>
        <item x="133"/>
        <item x="188"/>
        <item x="682"/>
        <item x="793"/>
        <item x="183"/>
        <item x="910"/>
        <item x="890"/>
        <item x="263"/>
        <item x="330"/>
        <item x="851"/>
        <item x="444"/>
        <item x="57"/>
        <item x="766"/>
        <item x="526"/>
        <item x="664"/>
        <item x="610"/>
        <item x="447"/>
        <item x="949"/>
        <item x="814"/>
        <item x="700"/>
        <item x="346"/>
        <item x="110"/>
        <item x="35"/>
        <item x="386"/>
        <item x="591"/>
        <item x="871"/>
        <item x="7"/>
        <item x="757"/>
        <item x="448"/>
        <item x="648"/>
        <item x="351"/>
        <item x="203"/>
        <item x="787"/>
        <item x="723"/>
        <item x="770"/>
        <item x="718"/>
        <item x="880"/>
        <item x="150"/>
        <item x="105"/>
        <item x="39"/>
        <item x="724"/>
        <item x="469"/>
        <item x="258"/>
        <item x="522"/>
        <item x="1"/>
        <item x="635"/>
        <item x="478"/>
        <item x="51"/>
        <item x="697"/>
        <item x="88"/>
        <item x="155"/>
        <item x="294"/>
        <item x="676"/>
        <item x="715"/>
        <item x="480"/>
        <item x="685"/>
        <item x="354"/>
        <item x="119"/>
        <item x="950"/>
        <item x="15"/>
        <item x="47"/>
        <item x="519"/>
        <item x="704"/>
        <item x="198"/>
        <item x="194"/>
        <item x="763"/>
        <item x="139"/>
        <item x="596"/>
        <item x="817"/>
        <item x="121"/>
        <item x="575"/>
        <item x="165"/>
        <item x="543"/>
        <item x="201"/>
        <item x="665"/>
        <item x="711"/>
        <item x="287"/>
        <item x="302"/>
        <item x="204"/>
        <item x="862"/>
        <item x="230"/>
        <item x="674"/>
        <item x="532"/>
        <item x="23"/>
        <item x="548"/>
        <item x="639"/>
        <item x="361"/>
        <item x="350"/>
        <item x="222"/>
        <item x="796"/>
        <item x="407"/>
        <item x="87"/>
        <item x="405"/>
        <item x="528"/>
        <item x="855"/>
        <item x="912"/>
        <item x="101"/>
        <item x="168"/>
        <item x="761"/>
        <item x="601"/>
        <item x="341"/>
        <item x="257"/>
        <item x="192"/>
        <item x="954"/>
        <item x="773"/>
        <item x="841"/>
        <item x="914"/>
        <item x="641"/>
        <item x="916"/>
        <item x="638"/>
        <item x="619"/>
        <item x="600"/>
        <item x="348"/>
        <item x="404"/>
        <item x="255"/>
        <item x="295"/>
        <item x="377"/>
        <item x="611"/>
        <item x="27"/>
        <item x="327"/>
        <item x="495"/>
        <item x="337"/>
        <item x="843"/>
        <item x="387"/>
        <item x="175"/>
        <item x="687"/>
        <item x="191"/>
        <item x="483"/>
        <item x="608"/>
        <item x="709"/>
        <item x="929"/>
        <item x="10"/>
        <item x="266"/>
        <item x="74"/>
        <item x="479"/>
        <item x="166"/>
        <item x="152"/>
        <item x="513"/>
        <item x="511"/>
        <item x="91"/>
        <item x="25"/>
        <item x="680"/>
        <item x="915"/>
        <item x="613"/>
        <item x="499"/>
        <item x="4"/>
        <item x="300"/>
        <item x="762"/>
        <item x="498"/>
        <item x="466"/>
        <item x="279"/>
        <item x="18"/>
        <item x="67"/>
        <item x="633"/>
        <item x="193"/>
        <item x="670"/>
        <item x="626"/>
        <item x="214"/>
        <item x="645"/>
        <item x="603"/>
        <item x="298"/>
        <item x="627"/>
        <item x="474"/>
        <item x="930"/>
        <item x="154"/>
        <item x="216"/>
        <item x="758"/>
        <item x="116"/>
        <item x="382"/>
        <item x="299"/>
        <item x="649"/>
        <item x="517"/>
        <item x="688"/>
        <item x="219"/>
        <item x="856"/>
        <item x="707"/>
        <item x="791"/>
        <item x="3"/>
        <item x="899"/>
        <item x="898"/>
        <item x="271"/>
        <item x="835"/>
        <item x="634"/>
        <item x="803"/>
        <item x="931"/>
        <item x="180"/>
        <item x="189"/>
        <item x="486"/>
        <item x="473"/>
        <item x="24"/>
        <item x="845"/>
        <item x="788"/>
        <item x="306"/>
        <item x="436"/>
        <item x="138"/>
        <item x="785"/>
        <item x="523"/>
        <item x="437"/>
        <item x="870"/>
        <item x="570"/>
        <item x="229"/>
        <item x="237"/>
        <item x="934"/>
        <item x="764"/>
        <item x="671"/>
        <item x="277"/>
        <item x="868"/>
        <item x="164"/>
        <item x="510"/>
        <item x="888"/>
        <item x="77"/>
        <item x="893"/>
        <item x="265"/>
        <item x="146"/>
        <item x="625"/>
        <item x="573"/>
        <item x="590"/>
        <item x="309"/>
        <item x="149"/>
        <item x="49"/>
        <item x="141"/>
        <item x="595"/>
        <item x="465"/>
        <item x="315"/>
        <item x="945"/>
        <item x="725"/>
        <item x="524"/>
        <item x="313"/>
        <item x="834"/>
        <item x="273"/>
        <item x="240"/>
        <item x="84"/>
        <item x="416"/>
        <item x="866"/>
        <item x="102"/>
        <item x="925"/>
        <item x="678"/>
        <item x="281"/>
        <item x="729"/>
        <item x="496"/>
        <item x="710"/>
        <item x="896"/>
        <item x="863"/>
        <item x="536"/>
        <item x="547"/>
        <item x="693"/>
        <item x="599"/>
        <item x="874"/>
        <item x="334"/>
        <item x="393"/>
        <item x="778"/>
        <item x="343"/>
        <item x="808"/>
        <item x="728"/>
        <item x="574"/>
        <item x="644"/>
        <item x="784"/>
        <item x="539"/>
        <item x="286"/>
        <item x="426"/>
        <item x="618"/>
        <item x="873"/>
        <item x="412"/>
        <item x="59"/>
        <item x="647"/>
        <item x="721"/>
        <item x="72"/>
        <item x="553"/>
        <item x="236"/>
        <item x="703"/>
        <item x="458"/>
        <item x="623"/>
        <item x="261"/>
        <item x="202"/>
        <item x="836"/>
        <item x="283"/>
        <item x="425"/>
        <item x="200"/>
        <item x="527"/>
        <item x="650"/>
        <item x="196"/>
        <item x="355"/>
        <item x="70"/>
        <item x="12"/>
        <item x="272"/>
        <item x="565"/>
        <item x="153"/>
        <item x="800"/>
        <item x="621"/>
        <item x="794"/>
        <item x="717"/>
        <item x="827"/>
        <item x="71"/>
        <item x="917"/>
        <item x="643"/>
        <item x="396"/>
        <item x="459"/>
        <item x="21"/>
        <item x="658"/>
        <item x="792"/>
        <item x="424"/>
        <item x="503"/>
        <item x="358"/>
        <item x="816"/>
        <item x="920"/>
        <item x="6"/>
        <item x="797"/>
        <item x="221"/>
        <item x="760"/>
        <item x="410"/>
        <item x="902"/>
        <item x="497"/>
        <item x="696"/>
        <item x="576"/>
        <item x="698"/>
        <item x="316"/>
        <item x="33"/>
        <item x="270"/>
        <item x="390"/>
        <item x="187"/>
        <item x="403"/>
        <item x="666"/>
        <item x="743"/>
        <item x="451"/>
        <item x="179"/>
        <item x="208"/>
        <item x="751"/>
        <item x="42"/>
        <item x="826"/>
        <item x="38"/>
        <item x="572"/>
        <item x="455"/>
        <item x="212"/>
        <item x="314"/>
        <item x="508"/>
        <item x="589"/>
        <item x="245"/>
        <item x="557"/>
        <item x="365"/>
        <item x="320"/>
        <item x="695"/>
        <item x="95"/>
        <item x="702"/>
        <item x="587"/>
        <item x="727"/>
        <item x="891"/>
        <item x="53"/>
        <item x="385"/>
        <item x="463"/>
        <item x="509"/>
        <item x="829"/>
        <item x="861"/>
        <item x="213"/>
        <item x="288"/>
        <item x="206"/>
        <item x="328"/>
        <item x="609"/>
        <item x="375"/>
        <item x="624"/>
        <item x="819"/>
        <item x="472"/>
        <item x="494"/>
        <item x="311"/>
        <item x="956"/>
        <item x="321"/>
        <item x="131"/>
        <item x="540"/>
        <item x="167"/>
        <item x="802"/>
        <item x="637"/>
        <item x="605"/>
        <item x="398"/>
        <item x="293"/>
        <item x="301"/>
        <item x="307"/>
        <item x="411"/>
        <item x="190"/>
        <item x="400"/>
        <item x="504"/>
        <item x="268"/>
        <item x="552"/>
        <item x="842"/>
        <item x="636"/>
        <item x="918"/>
        <item x="117"/>
        <item x="262"/>
        <item x="488"/>
        <item x="389"/>
        <item x="672"/>
        <item x="948"/>
        <item x="372"/>
        <item x="922"/>
        <item x="783"/>
        <item x="429"/>
        <item x="453"/>
        <item x="566"/>
        <item x="889"/>
        <item x="449"/>
        <item x="597"/>
        <item x="663"/>
        <item x="217"/>
        <item x="847"/>
        <item x="147"/>
        <item x="883"/>
        <item x="878"/>
        <item x="818"/>
        <item x="782"/>
        <item x="568"/>
        <item x="937"/>
        <item x="736"/>
        <item x="135"/>
        <item x="583"/>
        <item x="577"/>
        <item x="722"/>
        <item x="907"/>
        <item x="833"/>
        <item x="477"/>
        <item x="427"/>
        <item x="373"/>
        <item x="921"/>
        <item x="107"/>
        <item x="128"/>
        <item x="98"/>
        <item x="895"/>
        <item x="840"/>
        <item x="642"/>
        <item x="885"/>
        <item x="731"/>
        <item x="73"/>
        <item x="876"/>
        <item x="428"/>
        <item x="115"/>
        <item x="340"/>
        <item x="44"/>
        <item x="392"/>
        <item x="789"/>
        <item x="233"/>
        <item x="182"/>
        <item x="434"/>
        <item x="712"/>
        <item x="441"/>
        <item x="79"/>
        <item x="892"/>
        <item x="549"/>
        <item x="559"/>
        <item x="806"/>
        <item x="185"/>
        <item x="239"/>
        <item x="353"/>
        <item x="571"/>
        <item x="953"/>
        <item x="652"/>
        <item x="13"/>
        <item x="679"/>
        <item x="560"/>
        <item x="395"/>
        <item x="887"/>
        <item x="491"/>
        <item x="489"/>
        <item x="17"/>
        <item x="551"/>
        <item x="325"/>
        <item x="662"/>
        <item x="86"/>
        <item x="227"/>
        <item x="593"/>
        <item x="567"/>
        <item x="30"/>
        <item x="61"/>
        <item x="359"/>
        <item x="64"/>
        <item x="933"/>
        <item x="276"/>
        <item x="163"/>
        <item x="109"/>
        <item x="667"/>
        <item x="312"/>
        <item x="423"/>
        <item x="820"/>
        <item x="935"/>
        <item x="854"/>
        <item x="562"/>
        <item x="157"/>
        <item x="897"/>
        <item x="419"/>
        <item x="482"/>
        <item x="585"/>
        <item x="56"/>
        <item x="825"/>
        <item x="418"/>
        <item x="8"/>
        <item x="805"/>
        <item x="746"/>
        <item x="16"/>
        <item x="156"/>
        <item x="368"/>
        <item x="669"/>
        <item x="655"/>
        <item x="923"/>
        <item x="656"/>
        <item x="318"/>
        <item x="226"/>
        <item x="82"/>
        <item x="80"/>
        <item x="580"/>
        <item x="660"/>
        <item x="127"/>
        <item x="132"/>
        <item x="378"/>
        <item x="215"/>
        <item x="646"/>
        <item x="852"/>
        <item x="518"/>
        <item x="867"/>
        <item x="733"/>
        <item x="55"/>
        <item x="807"/>
        <item x="507"/>
        <item x="737"/>
        <item x="253"/>
        <item x="653"/>
        <item x="362"/>
        <item x="137"/>
        <item x="564"/>
        <item x="938"/>
        <item x="901"/>
        <item x="538"/>
        <item x="586"/>
        <item x="275"/>
        <item x="756"/>
        <item x="903"/>
        <item x="859"/>
        <item x="726"/>
        <item x="159"/>
        <item x="849"/>
        <item x="172"/>
        <item x="719"/>
        <item x="344"/>
        <item x="531"/>
        <item x="282"/>
        <item x="369"/>
        <item x="821"/>
        <item x="356"/>
        <item x="161"/>
        <item x="228"/>
        <item x="460"/>
        <item x="612"/>
        <item x="738"/>
        <item x="582"/>
        <item x="877"/>
        <item x="331"/>
        <item x="594"/>
        <item x="94"/>
        <item x="399"/>
        <item x="506"/>
        <item x="290"/>
        <item x="741"/>
        <item x="234"/>
        <item x="928"/>
        <item x="99"/>
        <item x="742"/>
        <item x="947"/>
        <item x="706"/>
        <item x="60"/>
        <item x="317"/>
        <item x="211"/>
        <item x="235"/>
        <item x="238"/>
        <item x="750"/>
        <item x="481"/>
        <item x="181"/>
        <item x="76"/>
        <item x="714"/>
        <item x="872"/>
        <item x="220"/>
        <item x="241"/>
        <item x="813"/>
        <item x="336"/>
        <item x="40"/>
        <item x="259"/>
        <item x="740"/>
        <item x="853"/>
        <item x="651"/>
        <item x="384"/>
        <item x="333"/>
        <item x="360"/>
        <item x="285"/>
        <item x="606"/>
        <item x="199"/>
        <item x="578"/>
        <item x="940"/>
        <item x="579"/>
        <item x="620"/>
        <item x="162"/>
        <item x="720"/>
        <item x="689"/>
        <item x="846"/>
        <item x="111"/>
        <item x="11"/>
        <item x="831"/>
        <item x="439"/>
        <item x="780"/>
        <item x="112"/>
        <item x="545"/>
        <item x="946"/>
        <item x="675"/>
        <item x="66"/>
        <item x="732"/>
        <item x="148"/>
        <item x="673"/>
        <item x="616"/>
        <item x="951"/>
        <item x="122"/>
        <item x="186"/>
        <item x="690"/>
        <item x="515"/>
        <item x="363"/>
        <item x="284"/>
        <item x="401"/>
        <item x="280"/>
        <item x="516"/>
        <item x="414"/>
        <item x="103"/>
        <item x="798"/>
        <item x="347"/>
        <item x="563"/>
        <item x="14"/>
        <item x="254"/>
        <item x="446"/>
        <item x="435"/>
        <item x="225"/>
        <item x="58"/>
        <item x="249"/>
        <item x="36"/>
        <item x="754"/>
        <item x="46"/>
        <item x="388"/>
        <item x="126"/>
        <item x="242"/>
        <item x="9"/>
        <item x="588"/>
        <item x="745"/>
        <item x="708"/>
        <item x="822"/>
        <item x="433"/>
        <item x="34"/>
        <item x="810"/>
        <item x="0"/>
        <item x="529"/>
        <item x="628"/>
        <item x="569"/>
        <item x="939"/>
        <item x="431"/>
        <item x="475"/>
        <item x="160"/>
        <item x="677"/>
        <item x="408"/>
        <item x="22"/>
        <item x="143"/>
        <item x="339"/>
        <item x="771"/>
        <item x="250"/>
        <item x="367"/>
        <item x="123"/>
        <item x="274"/>
        <item x="81"/>
        <item x="942"/>
        <item x="904"/>
        <item x="374"/>
        <item x="926"/>
        <item x="839"/>
        <item x="512"/>
        <item x="772"/>
        <item x="801"/>
        <item x="432"/>
        <item x="875"/>
        <item x="151"/>
        <item x="882"/>
        <item x="409"/>
        <item x="136"/>
        <item x="632"/>
        <item x="514"/>
        <item x="89"/>
        <item x="525"/>
        <item x="37"/>
        <item x="345"/>
        <item x="691"/>
        <item x="661"/>
        <item x="537"/>
        <item x="247"/>
        <item x="291"/>
        <item x="713"/>
        <item x="556"/>
        <item x="252"/>
        <item x="324"/>
        <item x="195"/>
        <item x="50"/>
        <item x="860"/>
        <item x="379"/>
        <item x="224"/>
        <item x="371"/>
        <item x="535"/>
        <item x="739"/>
        <item x="534"/>
        <item x="114"/>
        <item x="657"/>
        <item x="43"/>
        <item x="830"/>
        <item x="140"/>
        <item x="804"/>
        <item x="485"/>
        <item x="786"/>
        <item x="413"/>
        <item x="779"/>
        <item x="174"/>
        <item x="943"/>
        <item x="467"/>
        <item x="461"/>
        <item x="464"/>
        <item x="450"/>
        <item x="521"/>
        <item x="96"/>
        <item x="251"/>
        <item x="269"/>
        <item x="908"/>
        <item x="26"/>
        <item x="108"/>
        <item x="289"/>
        <item x="747"/>
        <item x="492"/>
        <item x="2"/>
        <item x="476"/>
        <item x="774"/>
        <item x="886"/>
        <item x="470"/>
        <item x="205"/>
        <item x="900"/>
        <item x="850"/>
        <item x="735"/>
        <item x="176"/>
        <item x="869"/>
        <item x="699"/>
        <item x="158"/>
        <item x="629"/>
        <item x="52"/>
        <item x="78"/>
        <item x="68"/>
        <item x="248"/>
        <item x="630"/>
        <item x="134"/>
        <item x="555"/>
        <item x="799"/>
        <item x="858"/>
        <item x="501"/>
        <item x="490"/>
        <item x="308"/>
        <item x="909"/>
        <item x="838"/>
        <item x="844"/>
        <item x="554"/>
        <item x="296"/>
        <item x="231"/>
        <item x="104"/>
        <item x="145"/>
        <item x="457"/>
        <item x="32"/>
        <item x="232"/>
        <item x="75"/>
        <item x="879"/>
        <item x="65"/>
        <item x="781"/>
        <item x="394"/>
        <item x="264"/>
        <item x="364"/>
        <item x="811"/>
        <item x="129"/>
        <item x="824"/>
        <item x="581"/>
        <item x="45"/>
        <item x="106"/>
        <item x="292"/>
        <item x="29"/>
        <item x="777"/>
        <item x="906"/>
        <item x="243"/>
        <item x="118"/>
        <item x="370"/>
        <item x="505"/>
        <item x="383"/>
        <item x="550"/>
        <item x="93"/>
        <item x="500"/>
        <item x="85"/>
        <item x="484"/>
        <item x="100"/>
        <item x="357"/>
        <item x="440"/>
        <item x="456"/>
        <item x="113"/>
        <item x="83"/>
        <item x="832"/>
        <item x="90"/>
        <item x="944"/>
        <item x="692"/>
        <item x="297"/>
        <item x="602"/>
        <item x="502"/>
        <item x="420"/>
        <item x="92"/>
        <item x="884"/>
        <item x="207"/>
        <item x="397"/>
        <item x="63"/>
        <item x="924"/>
        <item x="142"/>
        <item x="218"/>
        <item x="941"/>
        <item x="443"/>
        <item x="952"/>
        <item x="391"/>
        <item x="144"/>
        <item x="69"/>
        <item x="28"/>
        <item x="173"/>
        <item x="452"/>
        <item x="809"/>
        <item x="278"/>
        <item x="911"/>
        <item x="730"/>
        <item x="178"/>
        <item x="223"/>
        <item x="380"/>
        <item x="41"/>
        <item x="705"/>
        <item x="716"/>
        <item x="20"/>
        <item x="326"/>
        <item x="776"/>
        <item x="592"/>
        <item x="329"/>
        <item x="246"/>
        <item x="584"/>
        <item x="210"/>
        <item x="130"/>
        <item x="352"/>
        <item x="765"/>
        <item x="752"/>
        <item x="561"/>
        <item x="865"/>
        <item x="753"/>
        <item x="349"/>
        <item x="659"/>
        <item x="812"/>
        <item x="304"/>
        <item x="256"/>
        <item x="848"/>
        <item x="617"/>
        <item x="546"/>
        <item x="769"/>
        <item x="120"/>
        <item x="748"/>
        <item x="759"/>
        <item x="558"/>
        <item x="462"/>
        <item x="864"/>
        <item x="305"/>
        <item x="815"/>
        <item x="97"/>
        <item x="471"/>
        <item x="19"/>
        <item x="342"/>
        <item x="366"/>
        <item x="310"/>
        <item x="701"/>
        <item x="894"/>
        <item x="244"/>
        <item x="376"/>
        <item x="338"/>
        <item x="319"/>
        <item x="905"/>
        <item x="823"/>
        <item x="169"/>
        <item x="124"/>
        <item x="936"/>
        <item x="445"/>
        <item x="406"/>
        <item x="48"/>
        <item x="177"/>
        <item x="881"/>
        <item x="260"/>
        <item x="438"/>
        <item x="171"/>
        <item x="681"/>
        <item x="927"/>
        <item x="335"/>
        <item x="197"/>
        <item x="734"/>
        <item x="694"/>
        <item x="790"/>
        <item x="607"/>
        <item x="631"/>
        <item x="415"/>
        <item x="421"/>
        <item x="454"/>
        <item x="684"/>
        <item x="768"/>
        <item x="615"/>
        <item x="323"/>
        <item x="430"/>
        <item x="640"/>
        <item x="604"/>
        <item x="598"/>
        <item x="683"/>
        <item x="533"/>
        <item t="default"/>
      </items>
    </pivotField>
    <pivotField dataField="1" numFmtId="164" showAll="0"/>
    <pivotField showAll="0"/>
    <pivotField numFmtId="9" showAll="0"/>
    <pivotField numFmtId="164" showAll="0"/>
    <pivotField axis="axisRow" showAll="0" sortType="descending">
      <items count="9">
        <item x="2"/>
        <item x="4"/>
        <item x="3"/>
        <item x="1"/>
        <item x="7"/>
        <item x="0"/>
        <item x="6"/>
        <item x="5"/>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6"/>
  </rowFields>
  <rowItems count="9">
    <i>
      <x v="1"/>
    </i>
    <i>
      <x v="4"/>
    </i>
    <i>
      <x v="2"/>
    </i>
    <i>
      <x v="5"/>
    </i>
    <i>
      <x v="3"/>
    </i>
    <i>
      <x/>
    </i>
    <i>
      <x v="7"/>
    </i>
    <i>
      <x v="6"/>
    </i>
    <i t="grand">
      <x/>
    </i>
  </rowItems>
  <colItems count="1">
    <i/>
  </colItems>
  <dataFields count="1">
    <dataField name="Sum of Sales" fld="12"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D6B9F6-1B8F-4FEE-9F52-BD883B469073}"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2:M980" firstHeaderRow="1" firstDataRow="1" firstDataCol="1"/>
  <pivotFields count="20">
    <pivotField showAll="0"/>
    <pivotField numFmtId="14" showAll="0">
      <items count="557">
        <item x="427"/>
        <item x="9"/>
        <item x="308"/>
        <item x="270"/>
        <item x="392"/>
        <item x="389"/>
        <item x="350"/>
        <item x="437"/>
        <item x="177"/>
        <item x="476"/>
        <item x="292"/>
        <item x="256"/>
        <item x="346"/>
        <item x="231"/>
        <item x="322"/>
        <item x="14"/>
        <item x="349"/>
        <item x="37"/>
        <item x="457"/>
        <item x="279"/>
        <item x="36"/>
        <item x="442"/>
        <item x="287"/>
        <item x="223"/>
        <item x="365"/>
        <item x="537"/>
        <item x="224"/>
        <item x="455"/>
        <item x="281"/>
        <item x="382"/>
        <item x="280"/>
        <item x="295"/>
        <item x="411"/>
        <item x="484"/>
        <item x="276"/>
        <item x="265"/>
        <item x="540"/>
        <item x="361"/>
        <item x="202"/>
        <item x="106"/>
        <item x="162"/>
        <item x="510"/>
        <item x="145"/>
        <item x="509"/>
        <item x="479"/>
        <item x="89"/>
        <item x="164"/>
        <item x="199"/>
        <item x="73"/>
        <item x="521"/>
        <item x="78"/>
        <item x="22"/>
        <item x="285"/>
        <item x="30"/>
        <item x="239"/>
        <item x="74"/>
        <item x="494"/>
        <item x="472"/>
        <item x="407"/>
        <item x="186"/>
        <item x="53"/>
        <item x="299"/>
        <item x="129"/>
        <item x="132"/>
        <item x="266"/>
        <item x="409"/>
        <item x="387"/>
        <item x="345"/>
        <item x="438"/>
        <item x="493"/>
        <item x="511"/>
        <item x="551"/>
        <item x="189"/>
        <item x="528"/>
        <item x="552"/>
        <item x="486"/>
        <item x="194"/>
        <item x="502"/>
        <item x="453"/>
        <item x="258"/>
        <item x="221"/>
        <item x="504"/>
        <item x="34"/>
        <item x="91"/>
        <item x="310"/>
        <item x="237"/>
        <item x="525"/>
        <item x="539"/>
        <item x="69"/>
        <item x="62"/>
        <item x="18"/>
        <item x="314"/>
        <item x="546"/>
        <item x="138"/>
        <item x="357"/>
        <item x="290"/>
        <item x="384"/>
        <item x="545"/>
        <item x="360"/>
        <item x="474"/>
        <item x="193"/>
        <item x="151"/>
        <item x="115"/>
        <item x="61"/>
        <item x="520"/>
        <item x="183"/>
        <item x="368"/>
        <item x="203"/>
        <item x="104"/>
        <item x="243"/>
        <item x="80"/>
        <item x="300"/>
        <item x="304"/>
        <item x="122"/>
        <item x="55"/>
        <item x="288"/>
        <item x="527"/>
        <item x="200"/>
        <item x="181"/>
        <item x="375"/>
        <item x="191"/>
        <item x="82"/>
        <item x="444"/>
        <item x="154"/>
        <item x="149"/>
        <item x="103"/>
        <item x="142"/>
        <item x="161"/>
        <item x="105"/>
        <item x="524"/>
        <item x="321"/>
        <item x="96"/>
        <item x="410"/>
        <item x="461"/>
        <item x="323"/>
        <item x="475"/>
        <item x="352"/>
        <item x="470"/>
        <item x="440"/>
        <item x="39"/>
        <item x="379"/>
        <item x="4"/>
        <item x="110"/>
        <item x="413"/>
        <item x="490"/>
        <item x="555"/>
        <item x="547"/>
        <item x="16"/>
        <item x="21"/>
        <item x="514"/>
        <item x="31"/>
        <item x="536"/>
        <item x="26"/>
        <item x="401"/>
        <item x="125"/>
        <item x="244"/>
        <item x="394"/>
        <item x="306"/>
        <item x="124"/>
        <item x="15"/>
        <item x="58"/>
        <item x="17"/>
        <item x="24"/>
        <item x="114"/>
        <item x="329"/>
        <item x="313"/>
        <item x="462"/>
        <item x="324"/>
        <item x="141"/>
        <item x="71"/>
        <item x="11"/>
        <item x="118"/>
        <item x="512"/>
        <item x="236"/>
        <item x="386"/>
        <item x="215"/>
        <item x="225"/>
        <item x="211"/>
        <item x="340"/>
        <item x="173"/>
        <item x="485"/>
        <item x="257"/>
        <item x="255"/>
        <item x="296"/>
        <item x="434"/>
        <item x="3"/>
        <item x="315"/>
        <item x="418"/>
        <item x="515"/>
        <item x="204"/>
        <item x="293"/>
        <item x="416"/>
        <item x="8"/>
        <item x="12"/>
        <item x="229"/>
        <item x="344"/>
        <item x="165"/>
        <item x="393"/>
        <item x="273"/>
        <item x="358"/>
        <item x="97"/>
        <item x="27"/>
        <item x="534"/>
        <item x="268"/>
        <item x="388"/>
        <item x="57"/>
        <item x="330"/>
        <item x="488"/>
        <item x="482"/>
        <item x="487"/>
        <item x="421"/>
        <item x="286"/>
        <item x="128"/>
        <item x="267"/>
        <item x="498"/>
        <item x="464"/>
        <item x="143"/>
        <item x="197"/>
        <item x="272"/>
        <item x="449"/>
        <item x="113"/>
        <item x="383"/>
        <item x="250"/>
        <item x="20"/>
        <item x="341"/>
        <item x="381"/>
        <item x="402"/>
        <item x="6"/>
        <item x="480"/>
        <item x="241"/>
        <item x="278"/>
        <item x="79"/>
        <item x="499"/>
        <item x="328"/>
        <item x="481"/>
        <item x="496"/>
        <item x="98"/>
        <item x="234"/>
        <item x="107"/>
        <item x="95"/>
        <item x="81"/>
        <item x="372"/>
        <item x="400"/>
        <item x="348"/>
        <item x="159"/>
        <item x="144"/>
        <item x="309"/>
        <item x="168"/>
        <item x="190"/>
        <item x="316"/>
        <item x="429"/>
        <item x="398"/>
        <item x="169"/>
        <item x="471"/>
        <item x="60"/>
        <item x="500"/>
        <item x="332"/>
        <item x="454"/>
        <item x="50"/>
        <item x="65"/>
        <item x="135"/>
        <item x="230"/>
        <item x="38"/>
        <item x="274"/>
        <item x="456"/>
        <item x="428"/>
        <item x="127"/>
        <item x="450"/>
        <item x="406"/>
        <item x="468"/>
        <item x="171"/>
        <item x="446"/>
        <item x="549"/>
        <item x="439"/>
        <item x="359"/>
        <item x="355"/>
        <item x="133"/>
        <item x="283"/>
        <item x="353"/>
        <item x="338"/>
        <item x="458"/>
        <item x="49"/>
        <item x="436"/>
        <item x="302"/>
        <item x="90"/>
        <item x="542"/>
        <item x="208"/>
        <item x="431"/>
        <item x="46"/>
        <item x="501"/>
        <item x="166"/>
        <item x="163"/>
        <item x="52"/>
        <item x="326"/>
        <item x="425"/>
        <item x="72"/>
        <item x="201"/>
        <item x="298"/>
        <item x="45"/>
        <item x="63"/>
        <item x="544"/>
        <item x="112"/>
        <item x="214"/>
        <item x="175"/>
        <item x="391"/>
        <item x="289"/>
        <item x="467"/>
        <item x="235"/>
        <item x="469"/>
        <item x="373"/>
        <item x="506"/>
        <item x="342"/>
        <item x="339"/>
        <item x="209"/>
        <item x="42"/>
        <item x="325"/>
        <item x="0"/>
        <item x="213"/>
        <item x="170"/>
        <item x="441"/>
        <item x="351"/>
        <item x="187"/>
        <item x="489"/>
        <item x="311"/>
        <item x="371"/>
        <item x="75"/>
        <item x="443"/>
        <item x="245"/>
        <item x="531"/>
        <item x="10"/>
        <item x="291"/>
        <item x="447"/>
        <item x="380"/>
        <item x="334"/>
        <item x="262"/>
        <item x="519"/>
        <item x="364"/>
        <item x="497"/>
        <item x="94"/>
        <item x="67"/>
        <item x="130"/>
        <item x="508"/>
        <item x="433"/>
        <item x="399"/>
        <item x="205"/>
        <item x="56"/>
        <item x="420"/>
        <item x="111"/>
        <item x="121"/>
        <item x="347"/>
        <item x="219"/>
        <item x="408"/>
        <item x="530"/>
        <item x="473"/>
        <item x="40"/>
        <item x="337"/>
        <item x="403"/>
        <item x="465"/>
        <item x="251"/>
        <item x="333"/>
        <item x="83"/>
        <item x="463"/>
        <item x="430"/>
        <item x="86"/>
        <item x="263"/>
        <item x="369"/>
        <item x="363"/>
        <item x="167"/>
        <item x="158"/>
        <item x="41"/>
        <item x="419"/>
        <item x="228"/>
        <item x="376"/>
        <item x="68"/>
        <item x="477"/>
        <item x="7"/>
        <item x="77"/>
        <item x="483"/>
        <item x="460"/>
        <item x="116"/>
        <item x="137"/>
        <item x="5"/>
        <item x="25"/>
        <item x="93"/>
        <item x="117"/>
        <item x="269"/>
        <item x="492"/>
        <item x="180"/>
        <item x="222"/>
        <item x="233"/>
        <item x="435"/>
        <item x="277"/>
        <item x="29"/>
        <item x="19"/>
        <item x="198"/>
        <item x="354"/>
        <item x="248"/>
        <item x="178"/>
        <item x="249"/>
        <item x="260"/>
        <item x="550"/>
        <item x="156"/>
        <item x="218"/>
        <item x="212"/>
        <item x="247"/>
        <item x="108"/>
        <item x="216"/>
        <item x="210"/>
        <item x="271"/>
        <item x="466"/>
        <item x="184"/>
        <item x="242"/>
        <item x="254"/>
        <item x="92"/>
        <item x="432"/>
        <item x="331"/>
        <item x="179"/>
        <item x="119"/>
        <item x="507"/>
        <item x="307"/>
        <item x="318"/>
        <item x="397"/>
        <item x="196"/>
        <item x="553"/>
        <item x="66"/>
        <item x="188"/>
        <item x="54"/>
        <item x="157"/>
        <item x="517"/>
        <item x="390"/>
        <item x="101"/>
        <item x="516"/>
        <item x="297"/>
        <item x="529"/>
        <item x="294"/>
        <item x="495"/>
        <item x="404"/>
        <item x="59"/>
        <item x="414"/>
        <item x="182"/>
        <item x="160"/>
        <item x="185"/>
        <item x="207"/>
        <item x="109"/>
        <item x="356"/>
        <item x="220"/>
        <item x="505"/>
        <item x="312"/>
        <item x="385"/>
        <item x="261"/>
        <item x="445"/>
        <item x="335"/>
        <item x="238"/>
        <item x="377"/>
        <item x="155"/>
        <item x="35"/>
        <item x="227"/>
        <item x="301"/>
        <item x="88"/>
        <item x="153"/>
        <item x="48"/>
        <item x="148"/>
        <item x="533"/>
        <item x="367"/>
        <item x="136"/>
        <item x="317"/>
        <item x="246"/>
        <item x="370"/>
        <item x="2"/>
        <item x="126"/>
        <item x="240"/>
        <item x="518"/>
        <item x="51"/>
        <item x="174"/>
        <item x="282"/>
        <item x="459"/>
        <item x="85"/>
        <item x="336"/>
        <item x="478"/>
        <item x="232"/>
        <item x="535"/>
        <item x="396"/>
        <item x="217"/>
        <item x="415"/>
        <item x="412"/>
        <item x="23"/>
        <item x="176"/>
        <item x="327"/>
        <item x="395"/>
        <item x="150"/>
        <item x="543"/>
        <item x="253"/>
        <item x="538"/>
        <item x="140"/>
        <item x="554"/>
        <item x="131"/>
        <item x="422"/>
        <item x="1"/>
        <item x="451"/>
        <item x="491"/>
        <item x="146"/>
        <item x="426"/>
        <item x="374"/>
        <item x="405"/>
        <item x="70"/>
        <item x="320"/>
        <item x="120"/>
        <item x="541"/>
        <item x="343"/>
        <item x="452"/>
        <item x="43"/>
        <item x="47"/>
        <item x="172"/>
        <item x="275"/>
        <item x="99"/>
        <item x="152"/>
        <item x="139"/>
        <item x="378"/>
        <item x="87"/>
        <item x="64"/>
        <item x="526"/>
        <item x="134"/>
        <item x="147"/>
        <item x="423"/>
        <item x="102"/>
        <item x="76"/>
        <item x="13"/>
        <item x="366"/>
        <item x="195"/>
        <item x="417"/>
        <item x="264"/>
        <item x="32"/>
        <item x="192"/>
        <item x="259"/>
        <item x="532"/>
        <item x="206"/>
        <item x="305"/>
        <item x="362"/>
        <item x="448"/>
        <item x="100"/>
        <item x="226"/>
        <item x="522"/>
        <item x="252"/>
        <item x="284"/>
        <item x="303"/>
        <item x="84"/>
        <item x="503"/>
        <item x="33"/>
        <item x="28"/>
        <item x="424"/>
        <item x="44"/>
        <item x="513"/>
        <item x="123"/>
        <item x="548"/>
        <item x="523"/>
        <item x="319"/>
        <item t="default"/>
      </items>
    </pivotField>
    <pivotField numFmtId="14" showAll="0"/>
    <pivotField showAll="0"/>
    <pivotField showAll="0"/>
    <pivotField showAll="0">
      <items count="4">
        <item x="0"/>
        <item x="2"/>
        <item x="1"/>
        <item t="default"/>
      </items>
    </pivotField>
    <pivotField showAll="0"/>
    <pivotField showAll="0"/>
    <pivotField showAll="0">
      <items count="5">
        <item x="3"/>
        <item x="1"/>
        <item x="2"/>
        <item x="0"/>
        <item t="default"/>
      </items>
    </pivotField>
    <pivotField showAll="0">
      <items count="4">
        <item x="1"/>
        <item x="2"/>
        <item x="0"/>
        <item t="default"/>
      </items>
    </pivotField>
    <pivotField showAll="0"/>
    <pivotField axis="axisRow" showAll="0" sortType="descending">
      <items count="958">
        <item x="493"/>
        <item x="402"/>
        <item x="267"/>
        <item x="209"/>
        <item x="422"/>
        <item x="654"/>
        <item x="468"/>
        <item x="795"/>
        <item x="530"/>
        <item x="668"/>
        <item x="932"/>
        <item x="775"/>
        <item x="54"/>
        <item x="381"/>
        <item x="955"/>
        <item x="170"/>
        <item x="919"/>
        <item x="332"/>
        <item x="744"/>
        <item x="303"/>
        <item x="62"/>
        <item x="442"/>
        <item x="828"/>
        <item x="755"/>
        <item x="417"/>
        <item x="541"/>
        <item x="544"/>
        <item x="622"/>
        <item x="184"/>
        <item x="322"/>
        <item x="542"/>
        <item x="767"/>
        <item x="31"/>
        <item x="749"/>
        <item x="487"/>
        <item x="614"/>
        <item x="520"/>
        <item x="837"/>
        <item x="857"/>
        <item x="5"/>
        <item x="913"/>
        <item x="686"/>
        <item x="125"/>
        <item x="133"/>
        <item x="188"/>
        <item x="682"/>
        <item x="793"/>
        <item x="183"/>
        <item x="910"/>
        <item x="890"/>
        <item x="263"/>
        <item x="330"/>
        <item x="851"/>
        <item x="444"/>
        <item x="57"/>
        <item x="766"/>
        <item x="526"/>
        <item x="664"/>
        <item x="610"/>
        <item x="447"/>
        <item x="949"/>
        <item x="814"/>
        <item x="700"/>
        <item x="346"/>
        <item x="110"/>
        <item x="35"/>
        <item x="386"/>
        <item x="591"/>
        <item x="871"/>
        <item x="7"/>
        <item x="757"/>
        <item x="448"/>
        <item x="648"/>
        <item x="351"/>
        <item x="203"/>
        <item x="787"/>
        <item x="723"/>
        <item x="770"/>
        <item x="718"/>
        <item x="880"/>
        <item x="150"/>
        <item x="105"/>
        <item x="39"/>
        <item x="724"/>
        <item x="469"/>
        <item x="258"/>
        <item x="522"/>
        <item x="1"/>
        <item x="635"/>
        <item x="478"/>
        <item x="51"/>
        <item x="697"/>
        <item x="88"/>
        <item x="155"/>
        <item x="294"/>
        <item x="676"/>
        <item x="715"/>
        <item x="480"/>
        <item x="685"/>
        <item x="354"/>
        <item x="119"/>
        <item x="950"/>
        <item x="15"/>
        <item x="47"/>
        <item x="519"/>
        <item x="704"/>
        <item x="198"/>
        <item x="194"/>
        <item x="763"/>
        <item x="139"/>
        <item x="596"/>
        <item x="817"/>
        <item x="121"/>
        <item x="575"/>
        <item x="165"/>
        <item x="543"/>
        <item x="201"/>
        <item x="665"/>
        <item x="711"/>
        <item x="287"/>
        <item x="302"/>
        <item x="204"/>
        <item x="862"/>
        <item x="230"/>
        <item x="674"/>
        <item x="532"/>
        <item x="23"/>
        <item x="548"/>
        <item x="639"/>
        <item x="361"/>
        <item x="350"/>
        <item x="222"/>
        <item x="796"/>
        <item x="407"/>
        <item x="87"/>
        <item x="405"/>
        <item x="528"/>
        <item x="855"/>
        <item x="912"/>
        <item x="101"/>
        <item x="168"/>
        <item x="761"/>
        <item x="601"/>
        <item x="341"/>
        <item x="257"/>
        <item x="192"/>
        <item x="954"/>
        <item x="773"/>
        <item x="841"/>
        <item x="914"/>
        <item x="641"/>
        <item x="916"/>
        <item x="638"/>
        <item x="619"/>
        <item x="600"/>
        <item x="348"/>
        <item x="404"/>
        <item x="255"/>
        <item x="295"/>
        <item x="377"/>
        <item x="611"/>
        <item x="27"/>
        <item x="327"/>
        <item x="495"/>
        <item x="337"/>
        <item x="843"/>
        <item x="387"/>
        <item x="175"/>
        <item x="687"/>
        <item x="191"/>
        <item x="483"/>
        <item x="608"/>
        <item x="709"/>
        <item x="929"/>
        <item x="10"/>
        <item x="266"/>
        <item x="74"/>
        <item x="479"/>
        <item x="166"/>
        <item x="152"/>
        <item x="513"/>
        <item x="511"/>
        <item x="91"/>
        <item x="25"/>
        <item x="680"/>
        <item x="915"/>
        <item x="613"/>
        <item x="499"/>
        <item x="4"/>
        <item x="300"/>
        <item x="762"/>
        <item x="498"/>
        <item x="466"/>
        <item x="279"/>
        <item x="18"/>
        <item x="67"/>
        <item x="633"/>
        <item x="193"/>
        <item x="670"/>
        <item x="626"/>
        <item x="214"/>
        <item x="645"/>
        <item x="603"/>
        <item x="298"/>
        <item x="627"/>
        <item x="474"/>
        <item x="930"/>
        <item x="154"/>
        <item x="216"/>
        <item x="758"/>
        <item x="116"/>
        <item x="382"/>
        <item x="299"/>
        <item x="649"/>
        <item x="517"/>
        <item x="688"/>
        <item x="219"/>
        <item x="856"/>
        <item x="707"/>
        <item x="791"/>
        <item x="3"/>
        <item x="899"/>
        <item x="898"/>
        <item x="271"/>
        <item x="835"/>
        <item x="634"/>
        <item x="803"/>
        <item x="931"/>
        <item x="180"/>
        <item x="189"/>
        <item x="486"/>
        <item x="473"/>
        <item x="24"/>
        <item x="845"/>
        <item x="788"/>
        <item x="306"/>
        <item x="436"/>
        <item x="138"/>
        <item x="785"/>
        <item x="523"/>
        <item x="437"/>
        <item x="870"/>
        <item x="570"/>
        <item x="229"/>
        <item x="237"/>
        <item x="934"/>
        <item x="764"/>
        <item x="671"/>
        <item x="277"/>
        <item x="868"/>
        <item x="164"/>
        <item x="510"/>
        <item x="888"/>
        <item x="77"/>
        <item x="893"/>
        <item x="265"/>
        <item x="146"/>
        <item x="625"/>
        <item x="573"/>
        <item x="590"/>
        <item x="309"/>
        <item x="149"/>
        <item x="49"/>
        <item x="141"/>
        <item x="595"/>
        <item x="465"/>
        <item x="315"/>
        <item x="945"/>
        <item x="725"/>
        <item x="524"/>
        <item x="313"/>
        <item x="834"/>
        <item x="273"/>
        <item x="240"/>
        <item x="84"/>
        <item x="416"/>
        <item x="866"/>
        <item x="102"/>
        <item x="925"/>
        <item x="678"/>
        <item x="281"/>
        <item x="729"/>
        <item x="496"/>
        <item x="710"/>
        <item x="896"/>
        <item x="863"/>
        <item x="536"/>
        <item x="547"/>
        <item x="693"/>
        <item x="599"/>
        <item x="874"/>
        <item x="334"/>
        <item x="393"/>
        <item x="778"/>
        <item x="343"/>
        <item x="808"/>
        <item x="728"/>
        <item x="574"/>
        <item x="644"/>
        <item x="784"/>
        <item x="539"/>
        <item x="286"/>
        <item x="426"/>
        <item x="618"/>
        <item x="873"/>
        <item x="412"/>
        <item x="59"/>
        <item x="647"/>
        <item x="721"/>
        <item x="72"/>
        <item x="553"/>
        <item x="236"/>
        <item x="703"/>
        <item x="458"/>
        <item x="623"/>
        <item x="261"/>
        <item x="202"/>
        <item x="836"/>
        <item x="283"/>
        <item x="425"/>
        <item x="200"/>
        <item x="527"/>
        <item x="650"/>
        <item x="196"/>
        <item x="355"/>
        <item x="70"/>
        <item x="12"/>
        <item x="272"/>
        <item x="565"/>
        <item x="153"/>
        <item x="800"/>
        <item x="621"/>
        <item x="794"/>
        <item x="717"/>
        <item x="827"/>
        <item x="71"/>
        <item x="917"/>
        <item x="643"/>
        <item x="396"/>
        <item x="459"/>
        <item x="21"/>
        <item x="658"/>
        <item x="792"/>
        <item x="424"/>
        <item x="503"/>
        <item x="358"/>
        <item x="816"/>
        <item x="920"/>
        <item x="6"/>
        <item x="797"/>
        <item x="221"/>
        <item x="760"/>
        <item x="410"/>
        <item x="902"/>
        <item x="497"/>
        <item x="696"/>
        <item x="576"/>
        <item x="698"/>
        <item x="316"/>
        <item x="33"/>
        <item x="270"/>
        <item x="390"/>
        <item x="187"/>
        <item x="403"/>
        <item x="666"/>
        <item x="743"/>
        <item x="451"/>
        <item x="179"/>
        <item x="208"/>
        <item x="751"/>
        <item x="42"/>
        <item x="826"/>
        <item x="38"/>
        <item x="572"/>
        <item x="455"/>
        <item x="212"/>
        <item x="314"/>
        <item x="508"/>
        <item x="589"/>
        <item x="245"/>
        <item x="557"/>
        <item x="365"/>
        <item x="320"/>
        <item x="695"/>
        <item x="95"/>
        <item x="702"/>
        <item x="587"/>
        <item x="727"/>
        <item x="891"/>
        <item x="53"/>
        <item x="385"/>
        <item x="463"/>
        <item x="509"/>
        <item x="829"/>
        <item x="861"/>
        <item x="213"/>
        <item x="288"/>
        <item x="206"/>
        <item x="328"/>
        <item x="609"/>
        <item x="375"/>
        <item x="624"/>
        <item x="819"/>
        <item x="472"/>
        <item x="494"/>
        <item x="311"/>
        <item x="956"/>
        <item x="321"/>
        <item x="131"/>
        <item x="540"/>
        <item x="167"/>
        <item x="802"/>
        <item x="637"/>
        <item x="605"/>
        <item x="398"/>
        <item x="293"/>
        <item x="301"/>
        <item x="307"/>
        <item x="411"/>
        <item x="190"/>
        <item x="400"/>
        <item x="504"/>
        <item x="268"/>
        <item x="552"/>
        <item x="842"/>
        <item x="636"/>
        <item x="918"/>
        <item x="117"/>
        <item x="262"/>
        <item x="488"/>
        <item x="389"/>
        <item x="672"/>
        <item x="948"/>
        <item x="372"/>
        <item x="922"/>
        <item x="783"/>
        <item x="429"/>
        <item x="453"/>
        <item x="566"/>
        <item x="889"/>
        <item x="449"/>
        <item x="597"/>
        <item x="663"/>
        <item x="217"/>
        <item x="847"/>
        <item x="147"/>
        <item x="883"/>
        <item x="878"/>
        <item x="818"/>
        <item x="782"/>
        <item x="568"/>
        <item x="937"/>
        <item x="736"/>
        <item x="135"/>
        <item x="583"/>
        <item x="577"/>
        <item x="722"/>
        <item x="907"/>
        <item x="833"/>
        <item x="477"/>
        <item x="427"/>
        <item x="373"/>
        <item x="921"/>
        <item x="107"/>
        <item x="128"/>
        <item x="98"/>
        <item x="895"/>
        <item x="840"/>
        <item x="642"/>
        <item x="885"/>
        <item x="731"/>
        <item x="73"/>
        <item x="876"/>
        <item x="428"/>
        <item x="115"/>
        <item x="340"/>
        <item x="44"/>
        <item x="392"/>
        <item x="789"/>
        <item x="233"/>
        <item x="182"/>
        <item x="434"/>
        <item x="712"/>
        <item x="441"/>
        <item x="79"/>
        <item x="892"/>
        <item x="549"/>
        <item x="559"/>
        <item x="806"/>
        <item x="185"/>
        <item x="239"/>
        <item x="353"/>
        <item x="571"/>
        <item x="953"/>
        <item x="652"/>
        <item x="13"/>
        <item x="679"/>
        <item x="560"/>
        <item x="395"/>
        <item x="887"/>
        <item x="491"/>
        <item x="489"/>
        <item x="17"/>
        <item x="551"/>
        <item x="325"/>
        <item x="662"/>
        <item x="86"/>
        <item x="227"/>
        <item x="593"/>
        <item x="567"/>
        <item x="30"/>
        <item x="61"/>
        <item x="359"/>
        <item x="64"/>
        <item x="933"/>
        <item x="276"/>
        <item x="163"/>
        <item x="109"/>
        <item x="667"/>
        <item x="312"/>
        <item x="423"/>
        <item x="820"/>
        <item x="935"/>
        <item x="854"/>
        <item x="562"/>
        <item x="157"/>
        <item x="897"/>
        <item x="419"/>
        <item x="482"/>
        <item x="585"/>
        <item x="56"/>
        <item x="825"/>
        <item x="418"/>
        <item x="8"/>
        <item x="805"/>
        <item x="746"/>
        <item x="16"/>
        <item x="156"/>
        <item x="368"/>
        <item x="669"/>
        <item x="655"/>
        <item x="923"/>
        <item x="656"/>
        <item x="318"/>
        <item x="226"/>
        <item x="82"/>
        <item x="80"/>
        <item x="580"/>
        <item x="660"/>
        <item x="127"/>
        <item x="132"/>
        <item x="378"/>
        <item x="215"/>
        <item x="646"/>
        <item x="852"/>
        <item x="518"/>
        <item x="867"/>
        <item x="733"/>
        <item x="55"/>
        <item x="807"/>
        <item x="507"/>
        <item x="737"/>
        <item x="253"/>
        <item x="653"/>
        <item x="362"/>
        <item x="137"/>
        <item x="564"/>
        <item x="938"/>
        <item x="901"/>
        <item x="538"/>
        <item x="586"/>
        <item x="275"/>
        <item x="756"/>
        <item x="903"/>
        <item x="859"/>
        <item x="726"/>
        <item x="159"/>
        <item x="849"/>
        <item x="172"/>
        <item x="719"/>
        <item x="344"/>
        <item x="531"/>
        <item x="282"/>
        <item x="369"/>
        <item x="821"/>
        <item x="356"/>
        <item x="161"/>
        <item x="228"/>
        <item x="460"/>
        <item x="612"/>
        <item x="738"/>
        <item x="582"/>
        <item x="877"/>
        <item x="331"/>
        <item x="594"/>
        <item x="94"/>
        <item x="399"/>
        <item x="506"/>
        <item x="290"/>
        <item x="741"/>
        <item x="234"/>
        <item x="928"/>
        <item x="99"/>
        <item x="742"/>
        <item x="947"/>
        <item x="706"/>
        <item x="60"/>
        <item x="317"/>
        <item x="211"/>
        <item x="235"/>
        <item x="238"/>
        <item x="750"/>
        <item x="481"/>
        <item x="181"/>
        <item x="76"/>
        <item x="714"/>
        <item x="872"/>
        <item x="220"/>
        <item x="241"/>
        <item x="813"/>
        <item x="336"/>
        <item x="40"/>
        <item x="259"/>
        <item x="740"/>
        <item x="853"/>
        <item x="651"/>
        <item x="384"/>
        <item x="333"/>
        <item x="360"/>
        <item x="285"/>
        <item x="606"/>
        <item x="199"/>
        <item x="578"/>
        <item x="940"/>
        <item x="579"/>
        <item x="620"/>
        <item x="162"/>
        <item x="720"/>
        <item x="689"/>
        <item x="846"/>
        <item x="111"/>
        <item x="11"/>
        <item x="831"/>
        <item x="439"/>
        <item x="780"/>
        <item x="112"/>
        <item x="545"/>
        <item x="946"/>
        <item x="675"/>
        <item x="66"/>
        <item x="732"/>
        <item x="148"/>
        <item x="673"/>
        <item x="616"/>
        <item x="951"/>
        <item x="122"/>
        <item x="186"/>
        <item x="690"/>
        <item x="515"/>
        <item x="363"/>
        <item x="284"/>
        <item x="401"/>
        <item x="280"/>
        <item x="516"/>
        <item x="414"/>
        <item x="103"/>
        <item x="798"/>
        <item x="347"/>
        <item x="563"/>
        <item x="14"/>
        <item x="254"/>
        <item x="446"/>
        <item x="435"/>
        <item x="225"/>
        <item x="58"/>
        <item x="249"/>
        <item x="36"/>
        <item x="754"/>
        <item x="46"/>
        <item x="388"/>
        <item x="126"/>
        <item x="242"/>
        <item x="9"/>
        <item x="588"/>
        <item x="745"/>
        <item x="708"/>
        <item x="822"/>
        <item x="433"/>
        <item x="34"/>
        <item x="810"/>
        <item x="0"/>
        <item x="529"/>
        <item x="628"/>
        <item x="569"/>
        <item x="939"/>
        <item x="431"/>
        <item x="475"/>
        <item x="160"/>
        <item x="677"/>
        <item x="408"/>
        <item x="22"/>
        <item x="143"/>
        <item x="339"/>
        <item x="771"/>
        <item x="250"/>
        <item x="367"/>
        <item x="123"/>
        <item x="274"/>
        <item x="81"/>
        <item x="942"/>
        <item x="904"/>
        <item x="374"/>
        <item x="926"/>
        <item x="839"/>
        <item x="512"/>
        <item x="772"/>
        <item x="801"/>
        <item x="432"/>
        <item x="875"/>
        <item x="151"/>
        <item x="882"/>
        <item x="409"/>
        <item x="136"/>
        <item x="632"/>
        <item x="514"/>
        <item x="89"/>
        <item x="525"/>
        <item x="37"/>
        <item x="345"/>
        <item x="691"/>
        <item x="661"/>
        <item x="537"/>
        <item x="247"/>
        <item x="291"/>
        <item x="713"/>
        <item x="556"/>
        <item x="252"/>
        <item x="324"/>
        <item x="195"/>
        <item x="50"/>
        <item x="860"/>
        <item x="379"/>
        <item x="224"/>
        <item x="371"/>
        <item x="535"/>
        <item x="739"/>
        <item x="534"/>
        <item x="114"/>
        <item x="657"/>
        <item x="43"/>
        <item x="830"/>
        <item x="140"/>
        <item x="804"/>
        <item x="485"/>
        <item x="786"/>
        <item x="413"/>
        <item x="779"/>
        <item x="174"/>
        <item x="943"/>
        <item x="467"/>
        <item x="461"/>
        <item x="464"/>
        <item x="450"/>
        <item x="521"/>
        <item x="96"/>
        <item x="251"/>
        <item x="269"/>
        <item x="908"/>
        <item x="26"/>
        <item x="108"/>
        <item x="289"/>
        <item x="747"/>
        <item x="492"/>
        <item x="2"/>
        <item x="476"/>
        <item x="774"/>
        <item x="886"/>
        <item x="470"/>
        <item x="205"/>
        <item x="900"/>
        <item x="850"/>
        <item x="735"/>
        <item x="176"/>
        <item x="869"/>
        <item x="699"/>
        <item x="158"/>
        <item x="629"/>
        <item x="52"/>
        <item x="78"/>
        <item x="68"/>
        <item x="248"/>
        <item x="630"/>
        <item x="134"/>
        <item x="555"/>
        <item x="799"/>
        <item x="858"/>
        <item x="501"/>
        <item x="490"/>
        <item x="308"/>
        <item x="909"/>
        <item x="838"/>
        <item x="844"/>
        <item x="554"/>
        <item x="296"/>
        <item x="231"/>
        <item x="104"/>
        <item x="145"/>
        <item x="457"/>
        <item x="32"/>
        <item x="232"/>
        <item x="75"/>
        <item x="879"/>
        <item x="65"/>
        <item x="781"/>
        <item x="394"/>
        <item x="264"/>
        <item x="364"/>
        <item x="811"/>
        <item x="129"/>
        <item x="824"/>
        <item x="581"/>
        <item x="45"/>
        <item x="106"/>
        <item x="292"/>
        <item x="29"/>
        <item x="777"/>
        <item x="906"/>
        <item x="243"/>
        <item x="118"/>
        <item x="370"/>
        <item x="505"/>
        <item x="383"/>
        <item x="550"/>
        <item x="93"/>
        <item x="500"/>
        <item x="85"/>
        <item x="484"/>
        <item x="100"/>
        <item x="357"/>
        <item x="440"/>
        <item x="456"/>
        <item x="113"/>
        <item x="83"/>
        <item x="832"/>
        <item x="90"/>
        <item x="944"/>
        <item x="692"/>
        <item x="297"/>
        <item x="602"/>
        <item x="502"/>
        <item x="420"/>
        <item x="92"/>
        <item x="884"/>
        <item x="207"/>
        <item x="397"/>
        <item x="63"/>
        <item x="924"/>
        <item x="142"/>
        <item x="218"/>
        <item x="941"/>
        <item x="443"/>
        <item x="952"/>
        <item x="391"/>
        <item x="144"/>
        <item x="69"/>
        <item x="28"/>
        <item x="173"/>
        <item x="452"/>
        <item x="809"/>
        <item x="278"/>
        <item x="911"/>
        <item x="730"/>
        <item x="178"/>
        <item x="223"/>
        <item x="380"/>
        <item x="41"/>
        <item x="705"/>
        <item x="716"/>
        <item x="20"/>
        <item x="326"/>
        <item x="776"/>
        <item x="592"/>
        <item x="329"/>
        <item x="246"/>
        <item x="584"/>
        <item x="210"/>
        <item x="130"/>
        <item x="352"/>
        <item x="765"/>
        <item x="752"/>
        <item x="561"/>
        <item x="865"/>
        <item x="753"/>
        <item x="349"/>
        <item x="659"/>
        <item x="812"/>
        <item x="304"/>
        <item x="256"/>
        <item x="848"/>
        <item x="617"/>
        <item x="546"/>
        <item x="769"/>
        <item x="120"/>
        <item x="748"/>
        <item x="759"/>
        <item x="558"/>
        <item x="462"/>
        <item x="864"/>
        <item x="305"/>
        <item x="815"/>
        <item x="97"/>
        <item x="471"/>
        <item x="19"/>
        <item x="342"/>
        <item x="366"/>
        <item x="310"/>
        <item x="701"/>
        <item x="894"/>
        <item x="244"/>
        <item x="376"/>
        <item x="338"/>
        <item x="319"/>
        <item x="905"/>
        <item x="823"/>
        <item x="169"/>
        <item x="124"/>
        <item x="936"/>
        <item x="445"/>
        <item x="406"/>
        <item x="48"/>
        <item x="177"/>
        <item x="881"/>
        <item x="260"/>
        <item x="438"/>
        <item x="171"/>
        <item x="681"/>
        <item x="927"/>
        <item x="335"/>
        <item x="197"/>
        <item x="734"/>
        <item x="694"/>
        <item x="790"/>
        <item x="607"/>
        <item x="631"/>
        <item x="415"/>
        <item x="421"/>
        <item x="454"/>
        <item x="684"/>
        <item x="768"/>
        <item x="615"/>
        <item x="323"/>
        <item x="430"/>
        <item x="640"/>
        <item x="604"/>
        <item x="598"/>
        <item x="683"/>
        <item x="533"/>
        <item t="default"/>
      </items>
      <autoSortScope>
        <pivotArea dataOnly="0" outline="0" fieldPosition="0">
          <references count="1">
            <reference field="4294967294" count="1" selected="0">
              <x v="0"/>
            </reference>
          </references>
        </pivotArea>
      </autoSortScope>
    </pivotField>
    <pivotField dataField="1" numFmtId="164" showAll="0"/>
    <pivotField showAll="0"/>
    <pivotField numFmtId="9" showAll="0"/>
    <pivotField numFmtId="164" showAll="0"/>
    <pivotField showAll="0">
      <items count="9">
        <item x="5"/>
        <item x="6"/>
        <item x="0"/>
        <item x="7"/>
        <item x="1"/>
        <item x="3"/>
        <item x="4"/>
        <item x="2"/>
        <item t="default"/>
      </items>
    </pivotField>
    <pivotField showAll="0">
      <items count="5">
        <item x="3"/>
        <item x="0"/>
        <item x="1"/>
        <item x="2"/>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1"/>
  </rowFields>
  <rowItems count="958">
    <i>
      <x v="736"/>
    </i>
    <i>
      <x v="270"/>
    </i>
    <i>
      <x v="300"/>
    </i>
    <i>
      <x v="322"/>
    </i>
    <i>
      <x v="906"/>
    </i>
    <i>
      <x v="354"/>
    </i>
    <i>
      <x v="273"/>
    </i>
    <i>
      <x v="532"/>
    </i>
    <i>
      <x v="364"/>
    </i>
    <i>
      <x v="123"/>
    </i>
    <i>
      <x v="380"/>
    </i>
    <i>
      <x v="6"/>
    </i>
    <i>
      <x v="69"/>
    </i>
    <i>
      <x v="700"/>
    </i>
    <i>
      <x v="445"/>
    </i>
    <i>
      <x v="818"/>
    </i>
    <i>
      <x v="876"/>
    </i>
    <i>
      <x v="274"/>
    </i>
    <i>
      <x v="180"/>
    </i>
    <i>
      <x v="142"/>
    </i>
    <i>
      <x v="687"/>
    </i>
    <i>
      <x v="73"/>
    </i>
    <i>
      <x v="145"/>
    </i>
    <i>
      <x v="567"/>
    </i>
    <i>
      <x v="791"/>
    </i>
    <i>
      <x v="782"/>
    </i>
    <i>
      <x v="772"/>
    </i>
    <i>
      <x v="891"/>
    </i>
    <i>
      <x v="57"/>
    </i>
    <i>
      <x v="737"/>
    </i>
    <i>
      <x v="822"/>
    </i>
    <i>
      <x v="29"/>
    </i>
    <i>
      <x v="681"/>
    </i>
    <i>
      <x v="609"/>
    </i>
    <i>
      <x v="918"/>
    </i>
    <i>
      <x v="153"/>
    </i>
    <i>
      <x v="554"/>
    </i>
    <i>
      <x v="790"/>
    </i>
    <i>
      <x v="866"/>
    </i>
    <i>
      <x v="930"/>
    </i>
    <i>
      <x v="219"/>
    </i>
    <i>
      <x v="191"/>
    </i>
    <i>
      <x v="160"/>
    </i>
    <i>
      <x v="268"/>
    </i>
    <i>
      <x v="379"/>
    </i>
    <i>
      <x v="158"/>
    </i>
    <i>
      <x v="728"/>
    </i>
    <i>
      <x v="334"/>
    </i>
    <i>
      <x v="507"/>
    </i>
    <i>
      <x v="257"/>
    </i>
    <i>
      <x v="841"/>
    </i>
    <i>
      <x v="287"/>
    </i>
    <i>
      <x v="858"/>
    </i>
    <i>
      <x v="892"/>
    </i>
    <i>
      <x v="365"/>
    </i>
    <i>
      <x v="222"/>
    </i>
    <i>
      <x v="769"/>
    </i>
    <i>
      <x v="848"/>
    </i>
    <i>
      <x v="716"/>
    </i>
    <i>
      <x v="1"/>
    </i>
    <i>
      <x v="83"/>
    </i>
    <i>
      <x v="664"/>
    </i>
    <i>
      <x v="697"/>
    </i>
    <i>
      <x v="881"/>
    </i>
    <i>
      <x v="350"/>
    </i>
    <i>
      <x v="151"/>
    </i>
    <i>
      <x v="680"/>
    </i>
    <i>
      <x v="789"/>
    </i>
    <i>
      <x v="139"/>
    </i>
    <i>
      <x v="281"/>
    </i>
    <i>
      <x v="698"/>
    </i>
    <i>
      <x v="342"/>
    </i>
    <i>
      <x v="740"/>
    </i>
    <i>
      <x v="882"/>
    </i>
    <i>
      <x v="212"/>
    </i>
    <i>
      <x v="13"/>
    </i>
    <i>
      <x v="639"/>
    </i>
    <i>
      <x v="91"/>
    </i>
    <i>
      <x v="530"/>
    </i>
    <i>
      <x v="411"/>
    </i>
    <i>
      <x v="546"/>
    </i>
    <i>
      <x v="150"/>
    </i>
    <i>
      <x v="573"/>
    </i>
    <i>
      <x v="41"/>
    </i>
    <i>
      <x v="613"/>
    </i>
    <i>
      <x v="359"/>
    </i>
    <i>
      <x v="448"/>
    </i>
    <i>
      <x v="438"/>
    </i>
    <i>
      <x v="748"/>
    </i>
    <i>
      <x v="655"/>
    </i>
    <i>
      <x v="243"/>
    </i>
    <i>
      <x v="556"/>
    </i>
    <i>
      <x v="861"/>
    </i>
    <i>
      <x v="594"/>
    </i>
    <i>
      <x v="326"/>
    </i>
    <i>
      <x v="521"/>
    </i>
    <i>
      <x v="44"/>
    </i>
    <i>
      <x v="925"/>
    </i>
    <i>
      <x v="934"/>
    </i>
    <i>
      <x v="840"/>
    </i>
    <i>
      <x v="667"/>
    </i>
    <i>
      <x v="307"/>
    </i>
    <i>
      <x v="194"/>
    </i>
    <i>
      <x v="897"/>
    </i>
    <i>
      <x v="215"/>
    </i>
    <i>
      <x v="246"/>
    </i>
    <i>
      <x v="225"/>
    </i>
    <i>
      <x v="291"/>
    </i>
    <i>
      <x v="638"/>
    </i>
    <i>
      <x v="606"/>
    </i>
    <i>
      <x v="156"/>
    </i>
    <i>
      <x v="31"/>
    </i>
    <i>
      <x v="259"/>
    </i>
    <i>
      <x v="120"/>
    </i>
    <i>
      <x v="572"/>
    </i>
    <i>
      <x v="607"/>
    </i>
    <i>
      <x v="245"/>
    </i>
    <i>
      <x v="777"/>
    </i>
    <i>
      <x v="464"/>
    </i>
    <i>
      <x v="3"/>
    </i>
    <i>
      <x v="948"/>
    </i>
    <i>
      <x v="624"/>
    </i>
    <i>
      <x v="851"/>
    </i>
    <i>
      <x v="590"/>
    </i>
    <i>
      <x v="223"/>
    </i>
    <i>
      <x v="229"/>
    </i>
    <i>
      <x v="299"/>
    </i>
    <i>
      <x v="704"/>
    </i>
    <i>
      <x v="587"/>
    </i>
    <i>
      <x v="157"/>
    </i>
    <i>
      <x v="98"/>
    </i>
    <i>
      <x v="465"/>
    </i>
    <i>
      <x v="938"/>
    </i>
    <i>
      <x v="479"/>
    </i>
    <i>
      <x v="144"/>
    </i>
    <i>
      <x v="515"/>
    </i>
    <i>
      <x v="361"/>
    </i>
    <i>
      <x v="220"/>
    </i>
    <i>
      <x v="875"/>
    </i>
    <i>
      <x v="279"/>
    </i>
    <i>
      <x v="339"/>
    </i>
    <i>
      <x v="545"/>
    </i>
    <i>
      <x v="908"/>
    </i>
    <i>
      <x v="39"/>
    </i>
    <i>
      <x v="393"/>
    </i>
    <i>
      <x v="405"/>
    </i>
    <i>
      <x v="302"/>
    </i>
    <i>
      <x v="928"/>
    </i>
    <i>
      <x v="577"/>
    </i>
    <i>
      <x v="290"/>
    </i>
    <i>
      <x v="685"/>
    </i>
    <i>
      <x v="894"/>
    </i>
    <i>
      <x v="569"/>
    </i>
    <i>
      <x v="730"/>
    </i>
    <i>
      <x v="633"/>
    </i>
    <i>
      <x v="329"/>
    </i>
    <i>
      <x v="474"/>
    </i>
    <i>
      <x v="475"/>
    </i>
    <i>
      <x v="808"/>
    </i>
    <i>
      <x v="320"/>
    </i>
    <i>
      <x v="182"/>
    </i>
    <i>
      <x v="949"/>
    </i>
    <i>
      <x v="710"/>
    </i>
    <i>
      <x v="722"/>
    </i>
    <i>
      <x v="743"/>
    </i>
    <i>
      <x v="159"/>
    </i>
    <i>
      <x v="951"/>
    </i>
    <i>
      <x v="629"/>
    </i>
    <i>
      <x v="519"/>
    </i>
    <i>
      <x v="630"/>
    </i>
    <i>
      <x v="481"/>
    </i>
    <i>
      <x v="924"/>
    </i>
    <i>
      <x v="79"/>
    </i>
    <i>
      <x v="820"/>
    </i>
    <i>
      <x v="237"/>
    </i>
    <i>
      <x v="74"/>
    </i>
    <i>
      <x v="776"/>
    </i>
    <i>
      <x v="887"/>
    </i>
    <i>
      <x v="168"/>
    </i>
    <i>
      <x v="534"/>
    </i>
    <i>
      <x v="612"/>
    </i>
    <i>
      <x v="60"/>
    </i>
    <i>
      <x v="234"/>
    </i>
    <i>
      <x v="477"/>
    </i>
    <i>
      <x v="78"/>
    </i>
    <i>
      <x v="66"/>
    </i>
    <i>
      <x v="256"/>
    </i>
    <i>
      <x v="618"/>
    </i>
    <i>
      <x v="490"/>
    </i>
    <i>
      <x v="16"/>
    </i>
    <i>
      <x v="85"/>
    </i>
    <i>
      <x v="462"/>
    </i>
    <i>
      <x v="469"/>
    </i>
    <i>
      <x v="654"/>
    </i>
    <i>
      <x v="33"/>
    </i>
    <i>
      <x v="509"/>
    </i>
    <i>
      <x v="660"/>
    </i>
    <i>
      <x v="735"/>
    </i>
    <i>
      <x v="202"/>
    </i>
    <i>
      <x v="595"/>
    </i>
    <i>
      <x v="552"/>
    </i>
    <i>
      <x v="264"/>
    </i>
    <i>
      <x v="115"/>
    </i>
    <i>
      <x v="733"/>
    </i>
    <i>
      <x v="56"/>
    </i>
    <i>
      <x v="330"/>
    </i>
    <i>
      <x v="950"/>
    </i>
    <i>
      <x v="197"/>
    </i>
    <i>
      <x v="675"/>
    </i>
    <i>
      <x v="140"/>
    </i>
    <i>
      <x v="116"/>
    </i>
    <i>
      <x v="944"/>
    </i>
    <i>
      <x v="510"/>
    </i>
    <i>
      <x v="865"/>
    </i>
    <i>
      <x v="315"/>
    </i>
    <i>
      <x v="696"/>
    </i>
    <i>
      <x v="656"/>
    </i>
    <i>
      <x v="418"/>
    </i>
    <i>
      <x v="319"/>
    </i>
    <i>
      <x v="831"/>
    </i>
    <i>
      <x v="200"/>
    </i>
    <i>
      <x v="625"/>
    </i>
    <i>
      <x v="508"/>
    </i>
    <i>
      <x v="792"/>
    </i>
    <i>
      <x v="542"/>
    </i>
    <i>
      <x v="267"/>
    </i>
    <i>
      <x v="399"/>
    </i>
    <i>
      <x v="15"/>
    </i>
    <i>
      <x v="376"/>
    </i>
    <i>
      <x v="55"/>
    </i>
    <i>
      <x v="899"/>
    </i>
    <i>
      <x v="797"/>
    </i>
    <i>
      <x v="335"/>
    </i>
    <i>
      <x v="598"/>
    </i>
    <i>
      <x v="896"/>
    </i>
    <i>
      <x v="634"/>
    </i>
    <i>
      <x v="787"/>
    </i>
    <i>
      <x v="81"/>
    </i>
    <i>
      <x v="514"/>
    </i>
    <i>
      <x v="753"/>
    </i>
    <i>
      <x v="541"/>
    </i>
    <i>
      <x v="288"/>
    </i>
    <i>
      <x v="344"/>
    </i>
    <i>
      <x v="440"/>
    </i>
    <i>
      <x v="505"/>
    </i>
    <i>
      <x v="189"/>
    </i>
    <i>
      <x v="389"/>
    </i>
    <i>
      <x v="402"/>
    </i>
    <i>
      <x v="589"/>
    </i>
    <i>
      <x v="188"/>
    </i>
    <i>
      <x v="582"/>
    </i>
    <i>
      <x v="296"/>
    </i>
    <i>
      <x v="294"/>
    </i>
    <i>
      <x v="895"/>
    </i>
    <i>
      <x v="198"/>
    </i>
    <i>
      <x v="913"/>
    </i>
    <i>
      <x v="647"/>
    </i>
    <i>
      <x v="443"/>
    </i>
    <i>
      <x v="551"/>
    </i>
    <i>
      <x v="284"/>
    </i>
    <i>
      <x v="781"/>
    </i>
    <i>
      <x v="25"/>
    </i>
    <i>
      <x v="571"/>
    </i>
    <i>
      <x v="22"/>
    </i>
    <i>
      <x v="213"/>
    </i>
    <i>
      <x v="666"/>
    </i>
    <i>
      <x v="670"/>
    </i>
    <i>
      <x v="579"/>
    </i>
    <i>
      <x v="715"/>
    </i>
    <i>
      <x v="947"/>
    </i>
    <i>
      <x v="904"/>
    </i>
    <i>
      <x v="261"/>
    </i>
    <i>
      <x v="635"/>
    </i>
    <i>
      <x v="452"/>
    </i>
    <i>
      <x v="800"/>
    </i>
    <i>
      <x v="483"/>
    </i>
    <i>
      <x v="413"/>
    </i>
    <i>
      <x v="751"/>
    </i>
    <i>
      <x v="184"/>
    </i>
    <i>
      <x v="814"/>
    </i>
    <i>
      <x v="835"/>
    </i>
    <i>
      <x v="701"/>
    </i>
    <i>
      <x v="757"/>
    </i>
    <i>
      <x v="476"/>
    </i>
    <i>
      <x v="138"/>
    </i>
    <i>
      <x v="859"/>
    </i>
    <i>
      <x v="547"/>
    </i>
    <i>
      <x v="419"/>
    </i>
    <i>
      <x v="278"/>
    </i>
    <i>
      <x v="128"/>
    </i>
    <i>
      <x v="34"/>
    </i>
    <i>
      <x v="137"/>
    </i>
    <i>
      <x v="154"/>
    </i>
    <i>
      <x v="671"/>
    </i>
    <i>
      <x v="914"/>
    </i>
    <i>
      <x v="847"/>
    </i>
    <i>
      <x v="762"/>
    </i>
    <i>
      <x v="494"/>
    </i>
    <i>
      <x v="199"/>
    </i>
    <i>
      <x v="522"/>
    </i>
    <i>
      <x v="309"/>
    </i>
    <i>
      <x v="175"/>
    </i>
    <i>
      <x v="356"/>
    </i>
    <i>
      <x v="17"/>
    </i>
    <i>
      <x v="826"/>
    </i>
    <i>
      <x v="391"/>
    </i>
    <i>
      <x v="216"/>
    </i>
    <i>
      <x v="430"/>
    </i>
    <i>
      <x v="53"/>
    </i>
    <i>
      <x v="466"/>
    </i>
    <i>
      <x v="817"/>
    </i>
    <i>
      <x v="163"/>
    </i>
    <i>
      <x v="954"/>
    </i>
    <i>
      <x v="77"/>
    </i>
    <i>
      <x v="382"/>
    </i>
    <i>
      <x v="871"/>
    </i>
    <i>
      <x v="717"/>
    </i>
    <i>
      <x v="682"/>
    </i>
    <i>
      <x v="122"/>
    </i>
    <i>
      <x v="819"/>
    </i>
    <i>
      <x v="539"/>
    </i>
    <i>
      <x v="673"/>
    </i>
    <i>
      <x v="653"/>
    </i>
    <i>
      <x v="773"/>
    </i>
    <i>
      <x v="353"/>
    </i>
    <i>
      <x v="374"/>
    </i>
    <i>
      <x v="470"/>
    </i>
    <i>
      <x v="872"/>
    </i>
    <i>
      <x v="659"/>
    </i>
    <i>
      <x v="48"/>
    </i>
    <i>
      <x v="110"/>
    </i>
    <i>
      <x v="711"/>
    </i>
    <i>
      <x v="731"/>
    </i>
    <i>
      <x v="725"/>
    </i>
    <i>
      <x v="250"/>
    </i>
    <i>
      <x v="549"/>
    </i>
    <i>
      <x v="809"/>
    </i>
    <i>
      <x v="758"/>
    </i>
    <i>
      <x v="172"/>
    </i>
    <i>
      <x v="799"/>
    </i>
    <i>
      <x v="643"/>
    </i>
    <i>
      <x v="922"/>
    </i>
    <i>
      <x v="909"/>
    </i>
    <i>
      <x v="794"/>
    </i>
    <i>
      <x v="166"/>
    </i>
    <i>
      <x v="584"/>
    </i>
    <i>
      <x v="821"/>
    </i>
    <i>
      <x v="528"/>
    </i>
    <i>
      <x v="117"/>
    </i>
    <i>
      <x v="108"/>
    </i>
    <i>
      <x v="550"/>
    </i>
    <i>
      <x v="756"/>
    </i>
    <i>
      <x v="640"/>
    </i>
    <i>
      <x v="204"/>
    </i>
    <i>
      <x v="265"/>
    </i>
    <i>
      <x v="109"/>
    </i>
    <i>
      <x v="631"/>
    </i>
    <i>
      <x v="869"/>
    </i>
    <i>
      <x v="37"/>
    </i>
    <i>
      <x v="927"/>
    </i>
    <i>
      <x v="617"/>
    </i>
    <i>
      <x v="878"/>
    </i>
    <i>
      <x v="672"/>
    </i>
    <i>
      <x v="874"/>
    </i>
    <i>
      <x v="806"/>
    </i>
    <i>
      <x v="493"/>
    </i>
    <i>
      <x v="238"/>
    </i>
    <i>
      <x v="337"/>
    </i>
    <i>
      <x v="20"/>
    </i>
    <i>
      <x v="314"/>
    </i>
    <i>
      <x v="763"/>
    </i>
    <i>
      <x v="93"/>
    </i>
    <i>
      <x v="766"/>
    </i>
    <i>
      <x v="43"/>
    </i>
    <i>
      <x v="173"/>
    </i>
    <i>
      <x v="398"/>
    </i>
    <i>
      <x v="426"/>
    </i>
    <i>
      <x v="946"/>
    </i>
    <i>
      <x v="637"/>
    </i>
    <i>
      <x v="429"/>
    </i>
    <i>
      <x v="574"/>
    </i>
    <i>
      <x v="912"/>
    </i>
    <i>
      <x v="838"/>
    </i>
    <i>
      <x v="404"/>
    </i>
    <i>
      <x v="87"/>
    </i>
    <i>
      <x v="834"/>
    </i>
    <i>
      <x v="253"/>
    </i>
    <i>
      <x v="112"/>
    </i>
    <i>
      <x v="82"/>
    </i>
    <i>
      <x v="879"/>
    </i>
    <i>
      <x v="425"/>
    </i>
    <i>
      <x v="727"/>
    </i>
    <i>
      <x v="283"/>
    </i>
    <i>
      <x v="533"/>
    </i>
    <i>
      <x v="252"/>
    </i>
    <i>
      <x v="829"/>
    </i>
    <i>
      <x v="798"/>
    </i>
    <i>
      <x v="921"/>
    </i>
    <i>
      <x v="497"/>
    </i>
    <i>
      <x v="241"/>
    </i>
    <i>
      <x v="593"/>
    </i>
    <i>
      <x v="888"/>
    </i>
    <i>
      <x v="406"/>
    </i>
    <i>
      <x v="369"/>
    </i>
    <i>
      <x v="812"/>
    </i>
    <i>
      <x v="750"/>
    </i>
    <i>
      <x v="583"/>
    </i>
    <i>
      <x v="801"/>
    </i>
    <i>
      <x v="266"/>
    </i>
    <i>
      <x v="544"/>
    </i>
    <i>
      <x v="929"/>
    </i>
    <i>
      <x v="385"/>
    </i>
    <i>
      <x v="467"/>
    </i>
    <i>
      <x v="738"/>
    </i>
    <i>
      <x v="421"/>
    </i>
    <i>
      <x v="540"/>
    </i>
    <i>
      <x v="778"/>
    </i>
    <i>
      <x v="126"/>
    </i>
    <i>
      <x v="5"/>
    </i>
    <i>
      <x v="72"/>
    </i>
    <i>
      <x v="388"/>
    </i>
    <i>
      <x v="132"/>
    </i>
    <i>
      <x v="815"/>
    </i>
    <i>
      <x v="102"/>
    </i>
    <i>
      <x v="775"/>
    </i>
    <i>
      <x v="614"/>
    </i>
    <i>
      <x v="845"/>
    </i>
    <i>
      <x v="538"/>
    </i>
    <i>
      <x v="755"/>
    </i>
    <i>
      <x v="558"/>
    </i>
    <i>
      <x v="811"/>
    </i>
    <i>
      <x v="890"/>
    </i>
    <i>
      <x v="870"/>
    </i>
    <i>
      <x v="433"/>
    </i>
    <i>
      <x v="89"/>
    </i>
    <i>
      <x v="428"/>
    </i>
    <i>
      <x v="496"/>
    </i>
    <i>
      <x v="176"/>
    </i>
    <i>
      <x v="254"/>
    </i>
    <i>
      <x v="658"/>
    </i>
    <i>
      <x v="724"/>
    </i>
    <i>
      <x v="84"/>
    </i>
    <i>
      <x v="449"/>
    </i>
    <i>
      <x v="596"/>
    </i>
    <i>
      <x v="313"/>
    </i>
    <i>
      <x v="298"/>
    </i>
    <i>
      <x v="255"/>
    </i>
    <i>
      <x v="611"/>
    </i>
    <i>
      <x v="286"/>
    </i>
    <i>
      <x v="164"/>
    </i>
    <i>
      <x v="745"/>
    </i>
    <i>
      <x v="768"/>
    </i>
    <i>
      <x v="210"/>
    </i>
    <i>
      <x v="559"/>
    </i>
    <i>
      <x v="911"/>
    </i>
    <i>
      <x v="893"/>
    </i>
    <i>
      <x v="70"/>
    </i>
    <i>
      <x v="99"/>
    </i>
    <i>
      <x v="626"/>
    </i>
    <i>
      <x v="348"/>
    </i>
    <i>
      <x v="396"/>
    </i>
    <i>
      <x v="207"/>
    </i>
    <i>
      <x v="705"/>
    </i>
    <i>
      <x v="97"/>
    </i>
    <i>
      <x v="378"/>
    </i>
    <i>
      <x v="161"/>
    </i>
    <i>
      <x v="780"/>
    </i>
    <i>
      <x v="517"/>
    </i>
    <i>
      <x v="523"/>
    </i>
    <i>
      <x v="114"/>
    </i>
    <i>
      <x v="648"/>
    </i>
    <i>
      <x v="368"/>
    </i>
    <i>
      <x v="785"/>
    </i>
    <i>
      <x v="810"/>
    </i>
    <i>
      <x v="620"/>
    </i>
    <i>
      <x v="910"/>
    </i>
    <i>
      <x v="537"/>
    </i>
    <i>
      <x v="12"/>
    </i>
    <i>
      <x v="516"/>
    </i>
    <i>
      <x v="754"/>
    </i>
    <i>
      <x v="18"/>
    </i>
    <i>
      <x v="42"/>
    </i>
    <i>
      <x v="627"/>
    </i>
    <i>
      <x v="346"/>
    </i>
    <i>
      <x v="181"/>
    </i>
    <i>
      <x v="746"/>
    </i>
    <i>
      <x v="771"/>
    </i>
    <i>
      <x v="604"/>
    </i>
    <i>
      <x v="65"/>
    </i>
    <i>
      <x v="823"/>
    </i>
    <i>
      <x v="143"/>
    </i>
    <i>
      <x v="363"/>
    </i>
    <i>
      <x v="708"/>
    </i>
    <i>
      <x v="441"/>
    </i>
    <i>
      <x v="431"/>
    </i>
    <i>
      <x v="707"/>
    </i>
    <i>
      <x v="104"/>
    </i>
    <i>
      <x v="196"/>
    </i>
    <i>
      <x v="407"/>
    </i>
    <i>
      <x v="134"/>
    </i>
    <i>
      <x v="450"/>
    </i>
    <i>
      <x v="221"/>
    </i>
    <i>
      <x v="147"/>
    </i>
    <i>
      <x v="11"/>
    </i>
    <i>
      <x v="349"/>
    </i>
    <i>
      <x v="849"/>
    </i>
    <i>
      <x v="236"/>
    </i>
    <i>
      <x v="292"/>
    </i>
    <i>
      <x v="119"/>
    </i>
    <i>
      <x v="513"/>
    </i>
    <i>
      <x v="106"/>
    </i>
    <i>
      <x v="262"/>
    </i>
    <i>
      <x v="395"/>
    </i>
    <i>
      <x v="21"/>
    </i>
    <i>
      <x v="531"/>
    </i>
    <i>
      <x v="343"/>
    </i>
    <i>
      <x v="557"/>
    </i>
    <i>
      <x v="390"/>
    </i>
    <i>
      <x v="512"/>
    </i>
    <i>
      <x v="456"/>
    </i>
    <i>
      <x v="435"/>
    </i>
    <i>
      <x v="937"/>
    </i>
    <i>
      <x v="484"/>
    </i>
    <i>
      <x v="26"/>
    </i>
    <i>
      <x v="146"/>
    </i>
    <i>
      <x v="127"/>
    </i>
    <i>
      <x v="536"/>
    </i>
    <i>
      <x v="491"/>
    </i>
    <i>
      <x v="401"/>
    </i>
    <i>
      <x v="224"/>
    </i>
    <i>
      <x v="308"/>
    </i>
    <i>
      <x v="807"/>
    </i>
    <i>
      <x v="917"/>
    </i>
    <i>
      <x v="208"/>
    </i>
    <i>
      <x v="457"/>
    </i>
    <i>
      <x v="764"/>
    </i>
    <i>
      <x v="27"/>
    </i>
    <i>
      <x v="416"/>
    </i>
    <i>
      <x v="321"/>
    </i>
    <i>
      <x v="486"/>
    </i>
    <i>
      <x v="68"/>
    </i>
    <i>
      <x v="867"/>
    </i>
    <i>
      <x v="111"/>
    </i>
    <i>
      <x v="209"/>
    </i>
    <i>
      <x v="280"/>
    </i>
    <i>
      <x v="305"/>
    </i>
    <i>
      <x v="372"/>
    </i>
    <i>
      <x v="131"/>
    </i>
    <i>
      <x v="24"/>
    </i>
    <i>
      <x v="943"/>
    </i>
    <i>
      <x v="741"/>
    </i>
    <i>
      <x v="830"/>
    </i>
    <i>
      <x v="744"/>
    </i>
    <i>
      <x v="306"/>
    </i>
    <i>
      <x v="644"/>
    </i>
    <i>
      <x v="518"/>
    </i>
    <i>
      <x v="248"/>
    </i>
    <i>
      <x v="32"/>
    </i>
    <i>
      <x v="244"/>
    </i>
    <i>
      <x v="903"/>
    </i>
    <i>
      <x v="316"/>
    </i>
    <i>
      <x v="269"/>
    </i>
    <i>
      <x v="59"/>
    </i>
    <i>
      <x v="415"/>
    </i>
    <i>
      <x v="271"/>
    </i>
    <i>
      <x v="86"/>
    </i>
    <i>
      <x v="383"/>
    </i>
    <i>
      <x v="30"/>
    </i>
    <i>
      <x v="249"/>
    </i>
    <i>
      <x v="152"/>
    </i>
    <i>
      <x v="179"/>
    </i>
    <i>
      <x v="478"/>
    </i>
    <i>
      <x v="873"/>
    </i>
    <i>
      <x v="437"/>
    </i>
    <i>
      <x v="802"/>
    </i>
    <i>
      <x v="836"/>
    </i>
    <i>
      <x v="459"/>
    </i>
    <i>
      <x v="88"/>
    </i>
    <i>
      <x v="568"/>
    </i>
    <i>
      <x v="723"/>
    </i>
    <i>
      <x v="289"/>
    </i>
    <i>
      <x v="231"/>
    </i>
    <i>
      <x v="603"/>
    </i>
    <i>
      <x v="214"/>
    </i>
    <i>
      <x v="136"/>
    </i>
    <i>
      <x v="276"/>
    </i>
    <i>
      <x v="649"/>
    </i>
    <i>
      <x v="742"/>
    </i>
    <i>
      <x v="148"/>
    </i>
    <i>
      <x v="408"/>
    </i>
    <i>
      <x v="828"/>
    </i>
    <i>
      <x/>
    </i>
    <i>
      <x v="524"/>
    </i>
    <i>
      <x v="80"/>
    </i>
    <i>
      <x v="760"/>
    </i>
    <i>
      <x v="641"/>
    </i>
    <i>
      <x v="232"/>
    </i>
    <i>
      <x v="714"/>
    </i>
    <i>
      <x v="362"/>
    </i>
    <i>
      <x v="422"/>
    </i>
    <i>
      <x v="101"/>
    </i>
    <i>
      <x v="118"/>
    </i>
    <i>
      <x v="718"/>
    </i>
    <i>
      <x v="779"/>
    </i>
    <i>
      <x v="506"/>
    </i>
    <i>
      <x v="499"/>
    </i>
    <i>
      <x v="734"/>
    </i>
    <i>
      <x v="455"/>
    </i>
    <i>
      <x v="860"/>
    </i>
    <i>
      <x v="786"/>
    </i>
    <i>
      <x v="192"/>
    </i>
    <i>
      <x v="833"/>
    </i>
    <i>
      <x v="141"/>
    </i>
    <i>
      <x v="468"/>
    </i>
    <i>
      <x v="721"/>
    </i>
    <i>
      <x v="935"/>
    </i>
    <i>
      <x v="392"/>
    </i>
    <i>
      <x v="432"/>
    </i>
    <i>
      <x v="377"/>
    </i>
    <i>
      <x v="720"/>
    </i>
    <i>
      <x v="472"/>
    </i>
    <i>
      <x v="796"/>
    </i>
    <i>
      <x v="952"/>
    </i>
    <i>
      <x v="183"/>
    </i>
    <i>
      <x v="187"/>
    </i>
    <i>
      <x v="919"/>
    </i>
    <i>
      <x v="480"/>
    </i>
    <i>
      <x v="923"/>
    </i>
    <i>
      <x v="76"/>
    </i>
    <i>
      <x v="338"/>
    </i>
    <i>
      <x v="50"/>
    </i>
    <i>
      <x v="387"/>
    </i>
    <i>
      <x v="312"/>
    </i>
    <i>
      <x v="370"/>
    </i>
    <i>
      <x v="341"/>
    </i>
    <i>
      <x v="816"/>
    </i>
    <i>
      <x v="169"/>
    </i>
    <i>
      <x v="783"/>
    </i>
    <i>
      <x v="747"/>
    </i>
    <i>
      <x v="548"/>
    </i>
    <i>
      <x v="926"/>
    </i>
    <i>
      <x v="749"/>
    </i>
    <i>
      <x v="327"/>
    </i>
    <i>
      <x v="713"/>
    </i>
    <i>
      <x v="129"/>
    </i>
    <i>
      <x v="23"/>
    </i>
    <i>
      <x v="28"/>
    </i>
    <i>
      <x v="645"/>
    </i>
    <i>
      <x v="661"/>
    </i>
    <i>
      <x v="471"/>
    </i>
    <i>
      <x v="843"/>
    </i>
    <i>
      <x v="501"/>
    </i>
    <i>
      <x v="36"/>
    </i>
    <i>
      <x v="844"/>
    </i>
    <i>
      <x v="616"/>
    </i>
    <i>
      <x v="850"/>
    </i>
    <i>
      <x v="105"/>
    </i>
    <i>
      <x v="205"/>
    </i>
    <i>
      <x v="805"/>
    </i>
    <i>
      <x v="663"/>
    </i>
    <i>
      <x v="636"/>
    </i>
    <i>
      <x v="941"/>
    </i>
    <i>
      <x v="235"/>
    </i>
    <i>
      <x v="824"/>
    </i>
    <i>
      <x v="447"/>
    </i>
    <i>
      <x v="436"/>
    </i>
    <i>
      <x v="54"/>
    </i>
    <i>
      <x v="564"/>
    </i>
    <i>
      <x v="527"/>
    </i>
    <i>
      <x v="14"/>
    </i>
    <i>
      <x v="263"/>
    </i>
    <i>
      <x v="301"/>
    </i>
    <i>
      <x v="752"/>
    </i>
    <i>
      <x v="795"/>
    </i>
    <i>
      <x v="239"/>
    </i>
    <i>
      <x v="463"/>
    </i>
    <i>
      <x v="856"/>
    </i>
    <i>
      <x v="35"/>
    </i>
    <i>
      <x v="945"/>
    </i>
    <i>
      <x v="691"/>
    </i>
    <i>
      <x v="174"/>
    </i>
    <i>
      <x v="240"/>
    </i>
    <i>
      <x v="331"/>
    </i>
    <i>
      <x v="61"/>
    </i>
    <i>
      <x v="692"/>
    </i>
    <i>
      <x v="712"/>
    </i>
    <i>
      <x v="669"/>
    </i>
    <i>
      <x v="226"/>
    </i>
    <i>
      <x v="729"/>
    </i>
    <i>
      <x v="907"/>
    </i>
    <i>
      <x v="367"/>
    </i>
    <i>
      <x v="601"/>
    </i>
    <i>
      <x v="621"/>
    </i>
    <i>
      <x v="45"/>
    </i>
    <i>
      <x v="793"/>
    </i>
    <i>
      <x v="190"/>
    </i>
    <i>
      <x v="366"/>
    </i>
    <i>
      <x v="566"/>
    </i>
    <i>
      <x v="615"/>
    </i>
    <i>
      <x v="883"/>
    </i>
    <i>
      <x v="107"/>
    </i>
    <i>
      <x v="485"/>
    </i>
    <i>
      <x v="63"/>
    </i>
    <i>
      <x v="942"/>
    </i>
    <i>
      <x v="230"/>
    </i>
    <i>
      <x v="837"/>
    </i>
    <i>
      <x v="765"/>
    </i>
    <i>
      <x v="384"/>
    </i>
    <i>
      <x v="591"/>
    </i>
    <i>
      <x v="955"/>
    </i>
    <i>
      <x v="51"/>
    </i>
    <i>
      <x v="561"/>
    </i>
    <i>
      <x v="827"/>
    </i>
    <i>
      <x v="46"/>
    </i>
    <i>
      <x v="570"/>
    </i>
    <i>
      <x v="597"/>
    </i>
    <i>
      <x v="784"/>
    </i>
    <i>
      <x v="178"/>
    </i>
    <i>
      <x v="400"/>
    </i>
    <i>
      <x v="652"/>
    </i>
    <i>
      <x v="511"/>
    </i>
    <i>
      <x v="206"/>
    </i>
    <i>
      <x v="193"/>
    </i>
    <i>
      <x v="414"/>
    </i>
    <i>
      <x v="813"/>
    </i>
    <i>
      <x v="825"/>
    </i>
    <i>
      <x v="686"/>
    </i>
    <i>
      <x v="695"/>
    </i>
    <i>
      <x v="699"/>
    </i>
    <i>
      <x v="693"/>
    </i>
    <i>
      <x v="453"/>
    </i>
    <i>
      <x v="394"/>
    </i>
    <i>
      <x v="95"/>
    </i>
    <i>
      <x v="688"/>
    </i>
    <i>
      <x v="915"/>
    </i>
    <i>
      <x v="325"/>
    </i>
    <i>
      <x v="628"/>
    </i>
    <i>
      <x v="417"/>
    </i>
    <i>
      <x v="684"/>
    </i>
    <i>
      <x v="610"/>
    </i>
    <i>
      <x v="487"/>
    </i>
    <i>
      <x v="100"/>
    </i>
    <i>
      <x v="854"/>
    </i>
    <i>
      <x v="788"/>
    </i>
    <i>
      <x v="886"/>
    </i>
    <i>
      <x v="162"/>
    </i>
    <i>
      <x v="355"/>
    </i>
    <i>
      <x v="857"/>
    </i>
    <i>
      <x v="247"/>
    </i>
    <i>
      <x v="581"/>
    </i>
    <i>
      <x v="167"/>
    </i>
    <i>
      <x v="251"/>
    </i>
    <i>
      <x v="92"/>
    </i>
    <i>
      <x v="10"/>
    </i>
    <i>
      <x v="403"/>
    </i>
    <i>
      <x v="473"/>
    </i>
    <i>
      <x v="177"/>
    </i>
    <i>
      <x v="898"/>
    </i>
    <i>
      <x v="318"/>
    </i>
    <i>
      <x v="149"/>
    </i>
    <i>
      <x v="884"/>
    </i>
    <i>
      <x v="482"/>
    </i>
    <i>
      <x v="454"/>
    </i>
    <i>
      <x v="646"/>
    </i>
    <i>
      <x v="311"/>
    </i>
    <i>
      <x v="461"/>
    </i>
    <i>
      <x v="340"/>
    </i>
    <i>
      <x v="939"/>
    </i>
    <i>
      <x v="605"/>
    </i>
    <i>
      <x v="679"/>
    </i>
    <i>
      <x v="804"/>
    </i>
    <i>
      <x v="885"/>
    </i>
    <i>
      <x v="124"/>
    </i>
    <i>
      <x v="662"/>
    </i>
    <i>
      <x v="578"/>
    </i>
    <i>
      <x v="397"/>
    </i>
    <i>
      <x v="504"/>
    </i>
    <i>
      <x v="373"/>
    </i>
    <i>
      <x v="442"/>
    </i>
    <i>
      <x v="460"/>
    </i>
    <i>
      <x v="310"/>
    </i>
    <i>
      <x v="689"/>
    </i>
    <i>
      <x v="588"/>
    </i>
    <i>
      <x v="295"/>
    </i>
    <i>
      <x v="553"/>
    </i>
    <i>
      <x v="602"/>
    </i>
    <i>
      <x v="580"/>
    </i>
    <i>
      <x v="702"/>
    </i>
    <i>
      <x v="726"/>
    </i>
    <i>
      <x v="345"/>
    </i>
    <i>
      <x v="905"/>
    </i>
    <i>
      <x v="488"/>
    </i>
    <i>
      <x v="535"/>
    </i>
    <i>
      <x v="135"/>
    </i>
    <i>
      <x v="832"/>
    </i>
    <i>
      <x v="889"/>
    </i>
    <i>
      <x v="446"/>
    </i>
    <i>
      <x v="96"/>
    </i>
    <i>
      <x v="563"/>
    </i>
    <i>
      <x v="303"/>
    </i>
    <i>
      <x v="543"/>
    </i>
    <i>
      <x v="409"/>
    </i>
    <i>
      <x v="371"/>
    </i>
    <i>
      <x v="608"/>
    </i>
    <i>
      <x v="575"/>
    </i>
    <i>
      <x v="933"/>
    </i>
    <i>
      <x v="576"/>
    </i>
    <i>
      <x v="171"/>
    </i>
    <i>
      <x v="492"/>
    </i>
    <i>
      <x v="360"/>
    </i>
    <i>
      <x v="877"/>
    </i>
    <i>
      <x v="185"/>
    </i>
    <i>
      <x v="709"/>
    </i>
    <i>
      <x v="293"/>
    </i>
    <i>
      <x v="113"/>
    </i>
    <i>
      <x v="600"/>
    </i>
    <i>
      <x v="228"/>
    </i>
    <i>
      <x v="420"/>
    </i>
    <i>
      <x v="2"/>
    </i>
    <i>
      <x v="71"/>
    </i>
    <i>
      <x v="619"/>
    </i>
    <i>
      <x v="650"/>
    </i>
    <i>
      <x v="868"/>
    </i>
    <i>
      <x v="732"/>
    </i>
    <i>
      <x v="916"/>
    </i>
    <i>
      <x v="839"/>
    </i>
    <i>
      <x v="170"/>
    </i>
    <i>
      <x v="932"/>
    </i>
    <i>
      <x v="67"/>
    </i>
    <i>
      <x v="275"/>
    </i>
    <i>
      <x v="324"/>
    </i>
    <i>
      <x v="201"/>
    </i>
    <i>
      <x v="770"/>
    </i>
    <i>
      <x v="761"/>
    </i>
    <i>
      <x v="560"/>
    </i>
    <i>
      <x v="739"/>
    </i>
    <i>
      <x v="317"/>
    </i>
    <i>
      <x v="49"/>
    </i>
    <i>
      <x v="495"/>
    </i>
    <i>
      <x v="125"/>
    </i>
    <i>
      <x v="901"/>
    </i>
    <i>
      <x v="683"/>
    </i>
    <i>
      <x v="90"/>
    </i>
    <i>
      <x v="520"/>
    </i>
    <i>
      <x v="586"/>
    </i>
    <i>
      <x v="451"/>
    </i>
    <i>
      <x v="846"/>
    </i>
    <i>
      <x v="386"/>
    </i>
    <i>
      <x v="956"/>
    </i>
    <i>
      <x v="358"/>
    </i>
    <i>
      <x v="427"/>
    </i>
    <i>
      <x v="599"/>
    </i>
    <i>
      <x v="347"/>
    </i>
    <i>
      <x v="623"/>
    </i>
    <i>
      <x v="555"/>
    </i>
    <i>
      <x v="297"/>
    </i>
    <i>
      <x v="585"/>
    </i>
    <i>
      <x v="47"/>
    </i>
    <i>
      <x v="931"/>
    </i>
    <i>
      <x v="121"/>
    </i>
    <i>
      <x v="328"/>
    </i>
    <i>
      <x v="674"/>
    </i>
    <i>
      <x v="381"/>
    </i>
    <i>
      <x v="703"/>
    </i>
    <i>
      <x v="940"/>
    </i>
    <i>
      <x v="203"/>
    </i>
    <i>
      <x v="863"/>
    </i>
    <i>
      <x v="880"/>
    </i>
    <i>
      <x v="622"/>
    </i>
    <i>
      <x v="40"/>
    </i>
    <i>
      <x v="424"/>
    </i>
    <i>
      <x v="526"/>
    </i>
    <i>
      <x v="38"/>
    </i>
    <i>
      <x v="562"/>
    </i>
    <i>
      <x v="525"/>
    </i>
    <i>
      <x v="439"/>
    </i>
    <i>
      <x v="853"/>
    </i>
    <i>
      <x v="75"/>
    </i>
    <i>
      <x v="410"/>
    </i>
    <i>
      <x v="920"/>
    </i>
    <i>
      <x v="130"/>
    </i>
    <i>
      <x v="767"/>
    </i>
    <i>
      <x v="64"/>
    </i>
    <i>
      <x v="678"/>
    </i>
    <i>
      <x v="444"/>
    </i>
    <i>
      <x v="277"/>
    </i>
    <i>
      <x v="304"/>
    </i>
    <i>
      <x v="352"/>
    </i>
    <i>
      <x v="282"/>
    </i>
    <i>
      <x v="719"/>
    </i>
    <i>
      <x v="19"/>
    </i>
    <i>
      <x v="676"/>
    </i>
    <i>
      <x v="657"/>
    </i>
    <i>
      <x v="7"/>
    </i>
    <i>
      <x v="632"/>
    </i>
    <i>
      <x v="412"/>
    </i>
    <i>
      <x v="285"/>
    </i>
    <i>
      <x v="4"/>
    </i>
    <i>
      <x v="260"/>
    </i>
    <i>
      <x v="218"/>
    </i>
    <i>
      <x v="336"/>
    </i>
    <i>
      <x v="500"/>
    </i>
    <i>
      <x v="351"/>
    </i>
    <i>
      <x v="434"/>
    </i>
    <i>
      <x v="565"/>
    </i>
    <i>
      <x v="233"/>
    </i>
    <i>
      <x v="855"/>
    </i>
    <i>
      <x v="94"/>
    </i>
    <i>
      <x v="258"/>
    </i>
    <i>
      <x v="852"/>
    </i>
    <i>
      <x v="133"/>
    </i>
    <i>
      <x v="423"/>
    </i>
    <i>
      <x v="489"/>
    </i>
    <i>
      <x v="759"/>
    </i>
    <i>
      <x v="242"/>
    </i>
    <i>
      <x v="103"/>
    </i>
    <i>
      <x v="357"/>
    </i>
    <i>
      <x v="953"/>
    </i>
    <i>
      <x v="375"/>
    </i>
    <i>
      <x v="211"/>
    </i>
    <i>
      <x v="592"/>
    </i>
    <i>
      <x v="862"/>
    </i>
    <i>
      <x v="332"/>
    </i>
    <i>
      <x v="529"/>
    </i>
    <i>
      <x v="323"/>
    </i>
    <i>
      <x v="900"/>
    </i>
    <i>
      <x v="333"/>
    </i>
    <i>
      <x v="503"/>
    </i>
    <i>
      <x v="502"/>
    </i>
    <i>
      <x v="62"/>
    </i>
    <i>
      <x v="706"/>
    </i>
    <i>
      <x v="155"/>
    </i>
    <i>
      <x v="272"/>
    </i>
    <i>
      <x v="694"/>
    </i>
    <i>
      <x v="902"/>
    </i>
    <i>
      <x v="195"/>
    </i>
    <i>
      <x v="842"/>
    </i>
    <i>
      <x v="165"/>
    </i>
    <i>
      <x v="227"/>
    </i>
    <i>
      <x v="677"/>
    </i>
    <i>
      <x v="8"/>
    </i>
    <i>
      <x v="458"/>
    </i>
    <i>
      <x v="498"/>
    </i>
    <i>
      <x v="651"/>
    </i>
    <i>
      <x v="803"/>
    </i>
    <i>
      <x v="642"/>
    </i>
    <i>
      <x v="690"/>
    </i>
    <i>
      <x v="52"/>
    </i>
    <i>
      <x v="665"/>
    </i>
    <i>
      <x v="186"/>
    </i>
    <i>
      <x v="217"/>
    </i>
    <i>
      <x v="936"/>
    </i>
    <i>
      <x v="9"/>
    </i>
    <i>
      <x v="774"/>
    </i>
    <i>
      <x v="58"/>
    </i>
    <i>
      <x v="864"/>
    </i>
    <i>
      <x v="668"/>
    </i>
    <i t="grand">
      <x/>
    </i>
  </rowItems>
  <colItems count="1">
    <i/>
  </colItems>
  <dataFields count="1">
    <dataField name="Sum of Sales" fld="1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6E2989-079B-4617-B6FE-21F7FA046B6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70:B74" firstHeaderRow="1" firstDataRow="1" firstDataCol="1"/>
  <pivotFields count="20">
    <pivotField showAll="0"/>
    <pivotField numFmtId="14" showAll="0">
      <items count="557">
        <item x="427"/>
        <item x="9"/>
        <item x="308"/>
        <item x="270"/>
        <item x="392"/>
        <item x="389"/>
        <item x="350"/>
        <item x="437"/>
        <item x="177"/>
        <item x="476"/>
        <item x="292"/>
        <item x="256"/>
        <item x="346"/>
        <item x="231"/>
        <item x="322"/>
        <item x="14"/>
        <item x="349"/>
        <item x="37"/>
        <item x="457"/>
        <item x="279"/>
        <item x="36"/>
        <item x="442"/>
        <item x="287"/>
        <item x="223"/>
        <item x="365"/>
        <item x="537"/>
        <item x="224"/>
        <item x="455"/>
        <item x="281"/>
        <item x="382"/>
        <item x="280"/>
        <item x="295"/>
        <item x="411"/>
        <item x="484"/>
        <item x="276"/>
        <item x="265"/>
        <item x="540"/>
        <item x="361"/>
        <item x="202"/>
        <item x="106"/>
        <item x="162"/>
        <item x="510"/>
        <item x="145"/>
        <item x="509"/>
        <item x="479"/>
        <item x="89"/>
        <item x="164"/>
        <item x="199"/>
        <item x="73"/>
        <item x="521"/>
        <item x="78"/>
        <item x="22"/>
        <item x="285"/>
        <item x="30"/>
        <item x="239"/>
        <item x="74"/>
        <item x="494"/>
        <item x="472"/>
        <item x="407"/>
        <item x="186"/>
        <item x="53"/>
        <item x="299"/>
        <item x="129"/>
        <item x="132"/>
        <item x="266"/>
        <item x="409"/>
        <item x="387"/>
        <item x="345"/>
        <item x="438"/>
        <item x="493"/>
        <item x="511"/>
        <item x="551"/>
        <item x="189"/>
        <item x="528"/>
        <item x="552"/>
        <item x="486"/>
        <item x="194"/>
        <item x="502"/>
        <item x="453"/>
        <item x="258"/>
        <item x="221"/>
        <item x="504"/>
        <item x="34"/>
        <item x="91"/>
        <item x="310"/>
        <item x="237"/>
        <item x="525"/>
        <item x="539"/>
        <item x="69"/>
        <item x="62"/>
        <item x="18"/>
        <item x="314"/>
        <item x="546"/>
        <item x="138"/>
        <item x="357"/>
        <item x="290"/>
        <item x="384"/>
        <item x="545"/>
        <item x="360"/>
        <item x="474"/>
        <item x="193"/>
        <item x="151"/>
        <item x="115"/>
        <item x="61"/>
        <item x="520"/>
        <item x="183"/>
        <item x="368"/>
        <item x="203"/>
        <item x="104"/>
        <item x="243"/>
        <item x="80"/>
        <item x="300"/>
        <item x="304"/>
        <item x="122"/>
        <item x="55"/>
        <item x="288"/>
        <item x="527"/>
        <item x="200"/>
        <item x="181"/>
        <item x="375"/>
        <item x="191"/>
        <item x="82"/>
        <item x="444"/>
        <item x="154"/>
        <item x="149"/>
        <item x="103"/>
        <item x="142"/>
        <item x="161"/>
        <item x="105"/>
        <item x="524"/>
        <item x="321"/>
        <item x="96"/>
        <item x="410"/>
        <item x="461"/>
        <item x="323"/>
        <item x="475"/>
        <item x="352"/>
        <item x="470"/>
        <item x="440"/>
        <item x="39"/>
        <item x="379"/>
        <item x="4"/>
        <item x="110"/>
        <item x="413"/>
        <item x="490"/>
        <item x="555"/>
        <item x="547"/>
        <item x="16"/>
        <item x="21"/>
        <item x="514"/>
        <item x="31"/>
        <item x="536"/>
        <item x="26"/>
        <item x="401"/>
        <item x="125"/>
        <item x="244"/>
        <item x="394"/>
        <item x="306"/>
        <item x="124"/>
        <item x="15"/>
        <item x="58"/>
        <item x="17"/>
        <item x="24"/>
        <item x="114"/>
        <item x="329"/>
        <item x="313"/>
        <item x="462"/>
        <item x="324"/>
        <item x="141"/>
        <item x="71"/>
        <item x="11"/>
        <item x="118"/>
        <item x="512"/>
        <item x="236"/>
        <item x="386"/>
        <item x="215"/>
        <item x="225"/>
        <item x="211"/>
        <item x="340"/>
        <item x="173"/>
        <item x="485"/>
        <item x="257"/>
        <item x="255"/>
        <item x="296"/>
        <item x="434"/>
        <item x="3"/>
        <item x="315"/>
        <item x="418"/>
        <item x="515"/>
        <item x="204"/>
        <item x="293"/>
        <item x="416"/>
        <item x="8"/>
        <item x="12"/>
        <item x="229"/>
        <item x="344"/>
        <item x="165"/>
        <item x="393"/>
        <item x="273"/>
        <item x="358"/>
        <item x="97"/>
        <item x="27"/>
        <item x="534"/>
        <item x="268"/>
        <item x="388"/>
        <item x="57"/>
        <item x="330"/>
        <item x="488"/>
        <item x="482"/>
        <item x="487"/>
        <item x="421"/>
        <item x="286"/>
        <item x="128"/>
        <item x="267"/>
        <item x="498"/>
        <item x="464"/>
        <item x="143"/>
        <item x="197"/>
        <item x="272"/>
        <item x="449"/>
        <item x="113"/>
        <item x="383"/>
        <item x="250"/>
        <item x="20"/>
        <item x="341"/>
        <item x="381"/>
        <item x="402"/>
        <item x="6"/>
        <item x="480"/>
        <item x="241"/>
        <item x="278"/>
        <item x="79"/>
        <item x="499"/>
        <item x="328"/>
        <item x="481"/>
        <item x="496"/>
        <item x="98"/>
        <item x="234"/>
        <item x="107"/>
        <item x="95"/>
        <item x="81"/>
        <item x="372"/>
        <item x="400"/>
        <item x="348"/>
        <item x="159"/>
        <item x="144"/>
        <item x="309"/>
        <item x="168"/>
        <item x="190"/>
        <item x="316"/>
        <item x="429"/>
        <item x="398"/>
        <item x="169"/>
        <item x="471"/>
        <item x="60"/>
        <item x="500"/>
        <item x="332"/>
        <item x="454"/>
        <item x="50"/>
        <item x="65"/>
        <item x="135"/>
        <item x="230"/>
        <item x="38"/>
        <item x="274"/>
        <item x="456"/>
        <item x="428"/>
        <item x="127"/>
        <item x="450"/>
        <item x="406"/>
        <item x="468"/>
        <item x="171"/>
        <item x="446"/>
        <item x="549"/>
        <item x="439"/>
        <item x="359"/>
        <item x="355"/>
        <item x="133"/>
        <item x="283"/>
        <item x="353"/>
        <item x="338"/>
        <item x="458"/>
        <item x="49"/>
        <item x="436"/>
        <item x="302"/>
        <item x="90"/>
        <item x="542"/>
        <item x="208"/>
        <item x="431"/>
        <item x="46"/>
        <item x="501"/>
        <item x="166"/>
        <item x="163"/>
        <item x="52"/>
        <item x="326"/>
        <item x="425"/>
        <item x="72"/>
        <item x="201"/>
        <item x="298"/>
        <item x="45"/>
        <item x="63"/>
        <item x="544"/>
        <item x="112"/>
        <item x="214"/>
        <item x="175"/>
        <item x="391"/>
        <item x="289"/>
        <item x="467"/>
        <item x="235"/>
        <item x="469"/>
        <item x="373"/>
        <item x="506"/>
        <item x="342"/>
        <item x="339"/>
        <item x="209"/>
        <item x="42"/>
        <item x="325"/>
        <item x="0"/>
        <item x="213"/>
        <item x="170"/>
        <item x="441"/>
        <item x="351"/>
        <item x="187"/>
        <item x="489"/>
        <item x="311"/>
        <item x="371"/>
        <item x="75"/>
        <item x="443"/>
        <item x="245"/>
        <item x="531"/>
        <item x="10"/>
        <item x="291"/>
        <item x="447"/>
        <item x="380"/>
        <item x="334"/>
        <item x="262"/>
        <item x="519"/>
        <item x="364"/>
        <item x="497"/>
        <item x="94"/>
        <item x="67"/>
        <item x="130"/>
        <item x="508"/>
        <item x="433"/>
        <item x="399"/>
        <item x="205"/>
        <item x="56"/>
        <item x="420"/>
        <item x="111"/>
        <item x="121"/>
        <item x="347"/>
        <item x="219"/>
        <item x="408"/>
        <item x="530"/>
        <item x="473"/>
        <item x="40"/>
        <item x="337"/>
        <item x="403"/>
        <item x="465"/>
        <item x="251"/>
        <item x="333"/>
        <item x="83"/>
        <item x="463"/>
        <item x="430"/>
        <item x="86"/>
        <item x="263"/>
        <item x="369"/>
        <item x="363"/>
        <item x="167"/>
        <item x="158"/>
        <item x="41"/>
        <item x="419"/>
        <item x="228"/>
        <item x="376"/>
        <item x="68"/>
        <item x="477"/>
        <item x="7"/>
        <item x="77"/>
        <item x="483"/>
        <item x="460"/>
        <item x="116"/>
        <item x="137"/>
        <item x="5"/>
        <item x="25"/>
        <item x="93"/>
        <item x="117"/>
        <item x="269"/>
        <item x="492"/>
        <item x="180"/>
        <item x="222"/>
        <item x="233"/>
        <item x="435"/>
        <item x="277"/>
        <item x="29"/>
        <item x="19"/>
        <item x="198"/>
        <item x="354"/>
        <item x="248"/>
        <item x="178"/>
        <item x="249"/>
        <item x="260"/>
        <item x="550"/>
        <item x="156"/>
        <item x="218"/>
        <item x="212"/>
        <item x="247"/>
        <item x="108"/>
        <item x="216"/>
        <item x="210"/>
        <item x="271"/>
        <item x="466"/>
        <item x="184"/>
        <item x="242"/>
        <item x="254"/>
        <item x="92"/>
        <item x="432"/>
        <item x="331"/>
        <item x="179"/>
        <item x="119"/>
        <item x="507"/>
        <item x="307"/>
        <item x="318"/>
        <item x="397"/>
        <item x="196"/>
        <item x="553"/>
        <item x="66"/>
        <item x="188"/>
        <item x="54"/>
        <item x="157"/>
        <item x="517"/>
        <item x="390"/>
        <item x="101"/>
        <item x="516"/>
        <item x="297"/>
        <item x="529"/>
        <item x="294"/>
        <item x="495"/>
        <item x="404"/>
        <item x="59"/>
        <item x="414"/>
        <item x="182"/>
        <item x="160"/>
        <item x="185"/>
        <item x="207"/>
        <item x="109"/>
        <item x="356"/>
        <item x="220"/>
        <item x="505"/>
        <item x="312"/>
        <item x="385"/>
        <item x="261"/>
        <item x="445"/>
        <item x="335"/>
        <item x="238"/>
        <item x="377"/>
        <item x="155"/>
        <item x="35"/>
        <item x="227"/>
        <item x="301"/>
        <item x="88"/>
        <item x="153"/>
        <item x="48"/>
        <item x="148"/>
        <item x="533"/>
        <item x="367"/>
        <item x="136"/>
        <item x="317"/>
        <item x="246"/>
        <item x="370"/>
        <item x="2"/>
        <item x="126"/>
        <item x="240"/>
        <item x="518"/>
        <item x="51"/>
        <item x="174"/>
        <item x="282"/>
        <item x="459"/>
        <item x="85"/>
        <item x="336"/>
        <item x="478"/>
        <item x="232"/>
        <item x="535"/>
        <item x="396"/>
        <item x="217"/>
        <item x="415"/>
        <item x="412"/>
        <item x="23"/>
        <item x="176"/>
        <item x="327"/>
        <item x="395"/>
        <item x="150"/>
        <item x="543"/>
        <item x="253"/>
        <item x="538"/>
        <item x="140"/>
        <item x="554"/>
        <item x="131"/>
        <item x="422"/>
        <item x="1"/>
        <item x="451"/>
        <item x="491"/>
        <item x="146"/>
        <item x="426"/>
        <item x="374"/>
        <item x="405"/>
        <item x="70"/>
        <item x="320"/>
        <item x="120"/>
        <item x="541"/>
        <item x="343"/>
        <item x="452"/>
        <item x="43"/>
        <item x="47"/>
        <item x="172"/>
        <item x="275"/>
        <item x="99"/>
        <item x="152"/>
        <item x="139"/>
        <item x="378"/>
        <item x="87"/>
        <item x="64"/>
        <item x="526"/>
        <item x="134"/>
        <item x="147"/>
        <item x="423"/>
        <item x="102"/>
        <item x="76"/>
        <item x="13"/>
        <item x="366"/>
        <item x="195"/>
        <item x="417"/>
        <item x="264"/>
        <item x="32"/>
        <item x="192"/>
        <item x="259"/>
        <item x="532"/>
        <item x="206"/>
        <item x="305"/>
        <item x="362"/>
        <item x="448"/>
        <item x="100"/>
        <item x="226"/>
        <item x="522"/>
        <item x="252"/>
        <item x="284"/>
        <item x="303"/>
        <item x="84"/>
        <item x="503"/>
        <item x="33"/>
        <item x="28"/>
        <item x="424"/>
        <item x="44"/>
        <item x="513"/>
        <item x="123"/>
        <item x="548"/>
        <item x="523"/>
        <item x="319"/>
        <item t="default"/>
      </items>
    </pivotField>
    <pivotField numFmtId="14" showAll="0"/>
    <pivotField showAll="0"/>
    <pivotField showAll="0"/>
    <pivotField axis="axisRow" showAll="0">
      <items count="4">
        <item x="0"/>
        <item x="2"/>
        <item x="1"/>
        <item t="default"/>
      </items>
    </pivotField>
    <pivotField showAll="0"/>
    <pivotField showAll="0"/>
    <pivotField showAll="0">
      <items count="5">
        <item x="3"/>
        <item x="1"/>
        <item x="2"/>
        <item x="0"/>
        <item t="default"/>
      </items>
    </pivotField>
    <pivotField showAll="0">
      <items count="4">
        <item x="1"/>
        <item x="2"/>
        <item x="0"/>
        <item t="default"/>
      </items>
    </pivotField>
    <pivotField showAll="0"/>
    <pivotField showAll="0">
      <items count="958">
        <item x="493"/>
        <item x="402"/>
        <item x="267"/>
        <item x="209"/>
        <item x="422"/>
        <item x="654"/>
        <item x="468"/>
        <item x="795"/>
        <item x="530"/>
        <item x="668"/>
        <item x="932"/>
        <item x="775"/>
        <item x="54"/>
        <item x="381"/>
        <item x="955"/>
        <item x="170"/>
        <item x="919"/>
        <item x="332"/>
        <item x="744"/>
        <item x="303"/>
        <item x="62"/>
        <item x="442"/>
        <item x="828"/>
        <item x="755"/>
        <item x="417"/>
        <item x="541"/>
        <item x="544"/>
        <item x="622"/>
        <item x="184"/>
        <item x="322"/>
        <item x="542"/>
        <item x="767"/>
        <item x="31"/>
        <item x="749"/>
        <item x="487"/>
        <item x="614"/>
        <item x="520"/>
        <item x="837"/>
        <item x="857"/>
        <item x="5"/>
        <item x="913"/>
        <item x="686"/>
        <item x="125"/>
        <item x="133"/>
        <item x="188"/>
        <item x="682"/>
        <item x="793"/>
        <item x="183"/>
        <item x="910"/>
        <item x="890"/>
        <item x="263"/>
        <item x="330"/>
        <item x="851"/>
        <item x="444"/>
        <item x="57"/>
        <item x="766"/>
        <item x="526"/>
        <item x="664"/>
        <item x="610"/>
        <item x="447"/>
        <item x="949"/>
        <item x="814"/>
        <item x="700"/>
        <item x="346"/>
        <item x="110"/>
        <item x="35"/>
        <item x="386"/>
        <item x="591"/>
        <item x="871"/>
        <item x="7"/>
        <item x="757"/>
        <item x="448"/>
        <item x="648"/>
        <item x="351"/>
        <item x="203"/>
        <item x="787"/>
        <item x="723"/>
        <item x="770"/>
        <item x="718"/>
        <item x="880"/>
        <item x="150"/>
        <item x="105"/>
        <item x="39"/>
        <item x="724"/>
        <item x="469"/>
        <item x="258"/>
        <item x="522"/>
        <item x="1"/>
        <item x="635"/>
        <item x="478"/>
        <item x="51"/>
        <item x="697"/>
        <item x="88"/>
        <item x="155"/>
        <item x="294"/>
        <item x="676"/>
        <item x="715"/>
        <item x="480"/>
        <item x="685"/>
        <item x="354"/>
        <item x="119"/>
        <item x="950"/>
        <item x="15"/>
        <item x="47"/>
        <item x="519"/>
        <item x="704"/>
        <item x="198"/>
        <item x="194"/>
        <item x="763"/>
        <item x="139"/>
        <item x="596"/>
        <item x="817"/>
        <item x="121"/>
        <item x="575"/>
        <item x="165"/>
        <item x="543"/>
        <item x="201"/>
        <item x="665"/>
        <item x="711"/>
        <item x="287"/>
        <item x="302"/>
        <item x="204"/>
        <item x="862"/>
        <item x="230"/>
        <item x="674"/>
        <item x="532"/>
        <item x="23"/>
        <item x="548"/>
        <item x="639"/>
        <item x="361"/>
        <item x="350"/>
        <item x="222"/>
        <item x="796"/>
        <item x="407"/>
        <item x="87"/>
        <item x="405"/>
        <item x="528"/>
        <item x="855"/>
        <item x="912"/>
        <item x="101"/>
        <item x="168"/>
        <item x="761"/>
        <item x="601"/>
        <item x="341"/>
        <item x="257"/>
        <item x="192"/>
        <item x="954"/>
        <item x="773"/>
        <item x="841"/>
        <item x="914"/>
        <item x="641"/>
        <item x="916"/>
        <item x="638"/>
        <item x="619"/>
        <item x="600"/>
        <item x="348"/>
        <item x="404"/>
        <item x="255"/>
        <item x="295"/>
        <item x="377"/>
        <item x="611"/>
        <item x="27"/>
        <item x="327"/>
        <item x="495"/>
        <item x="337"/>
        <item x="843"/>
        <item x="387"/>
        <item x="175"/>
        <item x="687"/>
        <item x="191"/>
        <item x="483"/>
        <item x="608"/>
        <item x="709"/>
        <item x="929"/>
        <item x="10"/>
        <item x="266"/>
        <item x="74"/>
        <item x="479"/>
        <item x="166"/>
        <item x="152"/>
        <item x="513"/>
        <item x="511"/>
        <item x="91"/>
        <item x="25"/>
        <item x="680"/>
        <item x="915"/>
        <item x="613"/>
        <item x="499"/>
        <item x="4"/>
        <item x="300"/>
        <item x="762"/>
        <item x="498"/>
        <item x="466"/>
        <item x="279"/>
        <item x="18"/>
        <item x="67"/>
        <item x="633"/>
        <item x="193"/>
        <item x="670"/>
        <item x="626"/>
        <item x="214"/>
        <item x="645"/>
        <item x="603"/>
        <item x="298"/>
        <item x="627"/>
        <item x="474"/>
        <item x="930"/>
        <item x="154"/>
        <item x="216"/>
        <item x="758"/>
        <item x="116"/>
        <item x="382"/>
        <item x="299"/>
        <item x="649"/>
        <item x="517"/>
        <item x="688"/>
        <item x="219"/>
        <item x="856"/>
        <item x="707"/>
        <item x="791"/>
        <item x="3"/>
        <item x="899"/>
        <item x="898"/>
        <item x="271"/>
        <item x="835"/>
        <item x="634"/>
        <item x="803"/>
        <item x="931"/>
        <item x="180"/>
        <item x="189"/>
        <item x="486"/>
        <item x="473"/>
        <item x="24"/>
        <item x="845"/>
        <item x="788"/>
        <item x="306"/>
        <item x="436"/>
        <item x="138"/>
        <item x="785"/>
        <item x="523"/>
        <item x="437"/>
        <item x="870"/>
        <item x="570"/>
        <item x="229"/>
        <item x="237"/>
        <item x="934"/>
        <item x="764"/>
        <item x="671"/>
        <item x="277"/>
        <item x="868"/>
        <item x="164"/>
        <item x="510"/>
        <item x="888"/>
        <item x="77"/>
        <item x="893"/>
        <item x="265"/>
        <item x="146"/>
        <item x="625"/>
        <item x="573"/>
        <item x="590"/>
        <item x="309"/>
        <item x="149"/>
        <item x="49"/>
        <item x="141"/>
        <item x="595"/>
        <item x="465"/>
        <item x="315"/>
        <item x="945"/>
        <item x="725"/>
        <item x="524"/>
        <item x="313"/>
        <item x="834"/>
        <item x="273"/>
        <item x="240"/>
        <item x="84"/>
        <item x="416"/>
        <item x="866"/>
        <item x="102"/>
        <item x="925"/>
        <item x="678"/>
        <item x="281"/>
        <item x="729"/>
        <item x="496"/>
        <item x="710"/>
        <item x="896"/>
        <item x="863"/>
        <item x="536"/>
        <item x="547"/>
        <item x="693"/>
        <item x="599"/>
        <item x="874"/>
        <item x="334"/>
        <item x="393"/>
        <item x="778"/>
        <item x="343"/>
        <item x="808"/>
        <item x="728"/>
        <item x="574"/>
        <item x="644"/>
        <item x="784"/>
        <item x="539"/>
        <item x="286"/>
        <item x="426"/>
        <item x="618"/>
        <item x="873"/>
        <item x="412"/>
        <item x="59"/>
        <item x="647"/>
        <item x="721"/>
        <item x="72"/>
        <item x="553"/>
        <item x="236"/>
        <item x="703"/>
        <item x="458"/>
        <item x="623"/>
        <item x="261"/>
        <item x="202"/>
        <item x="836"/>
        <item x="283"/>
        <item x="425"/>
        <item x="200"/>
        <item x="527"/>
        <item x="650"/>
        <item x="196"/>
        <item x="355"/>
        <item x="70"/>
        <item x="12"/>
        <item x="272"/>
        <item x="565"/>
        <item x="153"/>
        <item x="800"/>
        <item x="621"/>
        <item x="794"/>
        <item x="717"/>
        <item x="827"/>
        <item x="71"/>
        <item x="917"/>
        <item x="643"/>
        <item x="396"/>
        <item x="459"/>
        <item x="21"/>
        <item x="658"/>
        <item x="792"/>
        <item x="424"/>
        <item x="503"/>
        <item x="358"/>
        <item x="816"/>
        <item x="920"/>
        <item x="6"/>
        <item x="797"/>
        <item x="221"/>
        <item x="760"/>
        <item x="410"/>
        <item x="902"/>
        <item x="497"/>
        <item x="696"/>
        <item x="576"/>
        <item x="698"/>
        <item x="316"/>
        <item x="33"/>
        <item x="270"/>
        <item x="390"/>
        <item x="187"/>
        <item x="403"/>
        <item x="666"/>
        <item x="743"/>
        <item x="451"/>
        <item x="179"/>
        <item x="208"/>
        <item x="751"/>
        <item x="42"/>
        <item x="826"/>
        <item x="38"/>
        <item x="572"/>
        <item x="455"/>
        <item x="212"/>
        <item x="314"/>
        <item x="508"/>
        <item x="589"/>
        <item x="245"/>
        <item x="557"/>
        <item x="365"/>
        <item x="320"/>
        <item x="695"/>
        <item x="95"/>
        <item x="702"/>
        <item x="587"/>
        <item x="727"/>
        <item x="891"/>
        <item x="53"/>
        <item x="385"/>
        <item x="463"/>
        <item x="509"/>
        <item x="829"/>
        <item x="861"/>
        <item x="213"/>
        <item x="288"/>
        <item x="206"/>
        <item x="328"/>
        <item x="609"/>
        <item x="375"/>
        <item x="624"/>
        <item x="819"/>
        <item x="472"/>
        <item x="494"/>
        <item x="311"/>
        <item x="956"/>
        <item x="321"/>
        <item x="131"/>
        <item x="540"/>
        <item x="167"/>
        <item x="802"/>
        <item x="637"/>
        <item x="605"/>
        <item x="398"/>
        <item x="293"/>
        <item x="301"/>
        <item x="307"/>
        <item x="411"/>
        <item x="190"/>
        <item x="400"/>
        <item x="504"/>
        <item x="268"/>
        <item x="552"/>
        <item x="842"/>
        <item x="636"/>
        <item x="918"/>
        <item x="117"/>
        <item x="262"/>
        <item x="488"/>
        <item x="389"/>
        <item x="672"/>
        <item x="948"/>
        <item x="372"/>
        <item x="922"/>
        <item x="783"/>
        <item x="429"/>
        <item x="453"/>
        <item x="566"/>
        <item x="889"/>
        <item x="449"/>
        <item x="597"/>
        <item x="663"/>
        <item x="217"/>
        <item x="847"/>
        <item x="147"/>
        <item x="883"/>
        <item x="878"/>
        <item x="818"/>
        <item x="782"/>
        <item x="568"/>
        <item x="937"/>
        <item x="736"/>
        <item x="135"/>
        <item x="583"/>
        <item x="577"/>
        <item x="722"/>
        <item x="907"/>
        <item x="833"/>
        <item x="477"/>
        <item x="427"/>
        <item x="373"/>
        <item x="921"/>
        <item x="107"/>
        <item x="128"/>
        <item x="98"/>
        <item x="895"/>
        <item x="840"/>
        <item x="642"/>
        <item x="885"/>
        <item x="731"/>
        <item x="73"/>
        <item x="876"/>
        <item x="428"/>
        <item x="115"/>
        <item x="340"/>
        <item x="44"/>
        <item x="392"/>
        <item x="789"/>
        <item x="233"/>
        <item x="182"/>
        <item x="434"/>
        <item x="712"/>
        <item x="441"/>
        <item x="79"/>
        <item x="892"/>
        <item x="549"/>
        <item x="559"/>
        <item x="806"/>
        <item x="185"/>
        <item x="239"/>
        <item x="353"/>
        <item x="571"/>
        <item x="953"/>
        <item x="652"/>
        <item x="13"/>
        <item x="679"/>
        <item x="560"/>
        <item x="395"/>
        <item x="887"/>
        <item x="491"/>
        <item x="489"/>
        <item x="17"/>
        <item x="551"/>
        <item x="325"/>
        <item x="662"/>
        <item x="86"/>
        <item x="227"/>
        <item x="593"/>
        <item x="567"/>
        <item x="30"/>
        <item x="61"/>
        <item x="359"/>
        <item x="64"/>
        <item x="933"/>
        <item x="276"/>
        <item x="163"/>
        <item x="109"/>
        <item x="667"/>
        <item x="312"/>
        <item x="423"/>
        <item x="820"/>
        <item x="935"/>
        <item x="854"/>
        <item x="562"/>
        <item x="157"/>
        <item x="897"/>
        <item x="419"/>
        <item x="482"/>
        <item x="585"/>
        <item x="56"/>
        <item x="825"/>
        <item x="418"/>
        <item x="8"/>
        <item x="805"/>
        <item x="746"/>
        <item x="16"/>
        <item x="156"/>
        <item x="368"/>
        <item x="669"/>
        <item x="655"/>
        <item x="923"/>
        <item x="656"/>
        <item x="318"/>
        <item x="226"/>
        <item x="82"/>
        <item x="80"/>
        <item x="580"/>
        <item x="660"/>
        <item x="127"/>
        <item x="132"/>
        <item x="378"/>
        <item x="215"/>
        <item x="646"/>
        <item x="852"/>
        <item x="518"/>
        <item x="867"/>
        <item x="733"/>
        <item x="55"/>
        <item x="807"/>
        <item x="507"/>
        <item x="737"/>
        <item x="253"/>
        <item x="653"/>
        <item x="362"/>
        <item x="137"/>
        <item x="564"/>
        <item x="938"/>
        <item x="901"/>
        <item x="538"/>
        <item x="586"/>
        <item x="275"/>
        <item x="756"/>
        <item x="903"/>
        <item x="859"/>
        <item x="726"/>
        <item x="159"/>
        <item x="849"/>
        <item x="172"/>
        <item x="719"/>
        <item x="344"/>
        <item x="531"/>
        <item x="282"/>
        <item x="369"/>
        <item x="821"/>
        <item x="356"/>
        <item x="161"/>
        <item x="228"/>
        <item x="460"/>
        <item x="612"/>
        <item x="738"/>
        <item x="582"/>
        <item x="877"/>
        <item x="331"/>
        <item x="594"/>
        <item x="94"/>
        <item x="399"/>
        <item x="506"/>
        <item x="290"/>
        <item x="741"/>
        <item x="234"/>
        <item x="928"/>
        <item x="99"/>
        <item x="742"/>
        <item x="947"/>
        <item x="706"/>
        <item x="60"/>
        <item x="317"/>
        <item x="211"/>
        <item x="235"/>
        <item x="238"/>
        <item x="750"/>
        <item x="481"/>
        <item x="181"/>
        <item x="76"/>
        <item x="714"/>
        <item x="872"/>
        <item x="220"/>
        <item x="241"/>
        <item x="813"/>
        <item x="336"/>
        <item x="40"/>
        <item x="259"/>
        <item x="740"/>
        <item x="853"/>
        <item x="651"/>
        <item x="384"/>
        <item x="333"/>
        <item x="360"/>
        <item x="285"/>
        <item x="606"/>
        <item x="199"/>
        <item x="578"/>
        <item x="940"/>
        <item x="579"/>
        <item x="620"/>
        <item x="162"/>
        <item x="720"/>
        <item x="689"/>
        <item x="846"/>
        <item x="111"/>
        <item x="11"/>
        <item x="831"/>
        <item x="439"/>
        <item x="780"/>
        <item x="112"/>
        <item x="545"/>
        <item x="946"/>
        <item x="675"/>
        <item x="66"/>
        <item x="732"/>
        <item x="148"/>
        <item x="673"/>
        <item x="616"/>
        <item x="951"/>
        <item x="122"/>
        <item x="186"/>
        <item x="690"/>
        <item x="515"/>
        <item x="363"/>
        <item x="284"/>
        <item x="401"/>
        <item x="280"/>
        <item x="516"/>
        <item x="414"/>
        <item x="103"/>
        <item x="798"/>
        <item x="347"/>
        <item x="563"/>
        <item x="14"/>
        <item x="254"/>
        <item x="446"/>
        <item x="435"/>
        <item x="225"/>
        <item x="58"/>
        <item x="249"/>
        <item x="36"/>
        <item x="754"/>
        <item x="46"/>
        <item x="388"/>
        <item x="126"/>
        <item x="242"/>
        <item x="9"/>
        <item x="588"/>
        <item x="745"/>
        <item x="708"/>
        <item x="822"/>
        <item x="433"/>
        <item x="34"/>
        <item x="810"/>
        <item x="0"/>
        <item x="529"/>
        <item x="628"/>
        <item x="569"/>
        <item x="939"/>
        <item x="431"/>
        <item x="475"/>
        <item x="160"/>
        <item x="677"/>
        <item x="408"/>
        <item x="22"/>
        <item x="143"/>
        <item x="339"/>
        <item x="771"/>
        <item x="250"/>
        <item x="367"/>
        <item x="123"/>
        <item x="274"/>
        <item x="81"/>
        <item x="942"/>
        <item x="904"/>
        <item x="374"/>
        <item x="926"/>
        <item x="839"/>
        <item x="512"/>
        <item x="772"/>
        <item x="801"/>
        <item x="432"/>
        <item x="875"/>
        <item x="151"/>
        <item x="882"/>
        <item x="409"/>
        <item x="136"/>
        <item x="632"/>
        <item x="514"/>
        <item x="89"/>
        <item x="525"/>
        <item x="37"/>
        <item x="345"/>
        <item x="691"/>
        <item x="661"/>
        <item x="537"/>
        <item x="247"/>
        <item x="291"/>
        <item x="713"/>
        <item x="556"/>
        <item x="252"/>
        <item x="324"/>
        <item x="195"/>
        <item x="50"/>
        <item x="860"/>
        <item x="379"/>
        <item x="224"/>
        <item x="371"/>
        <item x="535"/>
        <item x="739"/>
        <item x="534"/>
        <item x="114"/>
        <item x="657"/>
        <item x="43"/>
        <item x="830"/>
        <item x="140"/>
        <item x="804"/>
        <item x="485"/>
        <item x="786"/>
        <item x="413"/>
        <item x="779"/>
        <item x="174"/>
        <item x="943"/>
        <item x="467"/>
        <item x="461"/>
        <item x="464"/>
        <item x="450"/>
        <item x="521"/>
        <item x="96"/>
        <item x="251"/>
        <item x="269"/>
        <item x="908"/>
        <item x="26"/>
        <item x="108"/>
        <item x="289"/>
        <item x="747"/>
        <item x="492"/>
        <item x="2"/>
        <item x="476"/>
        <item x="774"/>
        <item x="886"/>
        <item x="470"/>
        <item x="205"/>
        <item x="900"/>
        <item x="850"/>
        <item x="735"/>
        <item x="176"/>
        <item x="869"/>
        <item x="699"/>
        <item x="158"/>
        <item x="629"/>
        <item x="52"/>
        <item x="78"/>
        <item x="68"/>
        <item x="248"/>
        <item x="630"/>
        <item x="134"/>
        <item x="555"/>
        <item x="799"/>
        <item x="858"/>
        <item x="501"/>
        <item x="490"/>
        <item x="308"/>
        <item x="909"/>
        <item x="838"/>
        <item x="844"/>
        <item x="554"/>
        <item x="296"/>
        <item x="231"/>
        <item x="104"/>
        <item x="145"/>
        <item x="457"/>
        <item x="32"/>
        <item x="232"/>
        <item x="75"/>
        <item x="879"/>
        <item x="65"/>
        <item x="781"/>
        <item x="394"/>
        <item x="264"/>
        <item x="364"/>
        <item x="811"/>
        <item x="129"/>
        <item x="824"/>
        <item x="581"/>
        <item x="45"/>
        <item x="106"/>
        <item x="292"/>
        <item x="29"/>
        <item x="777"/>
        <item x="906"/>
        <item x="243"/>
        <item x="118"/>
        <item x="370"/>
        <item x="505"/>
        <item x="383"/>
        <item x="550"/>
        <item x="93"/>
        <item x="500"/>
        <item x="85"/>
        <item x="484"/>
        <item x="100"/>
        <item x="357"/>
        <item x="440"/>
        <item x="456"/>
        <item x="113"/>
        <item x="83"/>
        <item x="832"/>
        <item x="90"/>
        <item x="944"/>
        <item x="692"/>
        <item x="297"/>
        <item x="602"/>
        <item x="502"/>
        <item x="420"/>
        <item x="92"/>
        <item x="884"/>
        <item x="207"/>
        <item x="397"/>
        <item x="63"/>
        <item x="924"/>
        <item x="142"/>
        <item x="218"/>
        <item x="941"/>
        <item x="443"/>
        <item x="952"/>
        <item x="391"/>
        <item x="144"/>
        <item x="69"/>
        <item x="28"/>
        <item x="173"/>
        <item x="452"/>
        <item x="809"/>
        <item x="278"/>
        <item x="911"/>
        <item x="730"/>
        <item x="178"/>
        <item x="223"/>
        <item x="380"/>
        <item x="41"/>
        <item x="705"/>
        <item x="716"/>
        <item x="20"/>
        <item x="326"/>
        <item x="776"/>
        <item x="592"/>
        <item x="329"/>
        <item x="246"/>
        <item x="584"/>
        <item x="210"/>
        <item x="130"/>
        <item x="352"/>
        <item x="765"/>
        <item x="752"/>
        <item x="561"/>
        <item x="865"/>
        <item x="753"/>
        <item x="349"/>
        <item x="659"/>
        <item x="812"/>
        <item x="304"/>
        <item x="256"/>
        <item x="848"/>
        <item x="617"/>
        <item x="546"/>
        <item x="769"/>
        <item x="120"/>
        <item x="748"/>
        <item x="759"/>
        <item x="558"/>
        <item x="462"/>
        <item x="864"/>
        <item x="305"/>
        <item x="815"/>
        <item x="97"/>
        <item x="471"/>
        <item x="19"/>
        <item x="342"/>
        <item x="366"/>
        <item x="310"/>
        <item x="701"/>
        <item x="894"/>
        <item x="244"/>
        <item x="376"/>
        <item x="338"/>
        <item x="319"/>
        <item x="905"/>
        <item x="823"/>
        <item x="169"/>
        <item x="124"/>
        <item x="936"/>
        <item x="445"/>
        <item x="406"/>
        <item x="48"/>
        <item x="177"/>
        <item x="881"/>
        <item x="260"/>
        <item x="438"/>
        <item x="171"/>
        <item x="681"/>
        <item x="927"/>
        <item x="335"/>
        <item x="197"/>
        <item x="734"/>
        <item x="694"/>
        <item x="790"/>
        <item x="607"/>
        <item x="631"/>
        <item x="415"/>
        <item x="421"/>
        <item x="454"/>
        <item x="684"/>
        <item x="768"/>
        <item x="615"/>
        <item x="323"/>
        <item x="430"/>
        <item x="640"/>
        <item x="604"/>
        <item x="598"/>
        <item x="683"/>
        <item x="533"/>
        <item t="default"/>
      </items>
    </pivotField>
    <pivotField dataField="1" numFmtId="164" showAll="0"/>
    <pivotField showAll="0"/>
    <pivotField numFmtId="9" showAll="0"/>
    <pivotField numFmtId="164" showAll="0"/>
    <pivotField showAll="0">
      <items count="9">
        <item x="5"/>
        <item x="6"/>
        <item x="0"/>
        <item x="7"/>
        <item x="1"/>
        <item x="3"/>
        <item x="4"/>
        <item x="2"/>
        <item t="default"/>
      </items>
    </pivotField>
    <pivotField showAll="0">
      <items count="5">
        <item x="3"/>
        <item x="0"/>
        <item x="1"/>
        <item x="2"/>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5"/>
  </rowFields>
  <rowItems count="4">
    <i>
      <x/>
    </i>
    <i>
      <x v="1"/>
    </i>
    <i>
      <x v="2"/>
    </i>
    <i t="grand">
      <x/>
    </i>
  </rowItems>
  <colItems count="1">
    <i/>
  </colItems>
  <dataFields count="1">
    <dataField name="Sum of Sales" fld="12" baseField="0" baseItem="0" numFmtId="164"/>
  </dataFields>
  <chartFormats count="4">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5" count="1" selected="0">
            <x v="0"/>
          </reference>
        </references>
      </pivotArea>
    </chartFormat>
    <chartFormat chart="7" format="7">
      <pivotArea type="data" outline="0" fieldPosition="0">
        <references count="2">
          <reference field="4294967294" count="1" selected="0">
            <x v="0"/>
          </reference>
          <reference field="5" count="1" selected="0">
            <x v="1"/>
          </reference>
        </references>
      </pivotArea>
    </chartFormat>
    <chartFormat chart="7"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E009BE-59EC-4E53-9586-A5624D7FDDC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G30:H34" firstHeaderRow="1" firstDataRow="1" firstDataCol="1"/>
  <pivotFields count="20">
    <pivotField showAll="0"/>
    <pivotField numFmtId="14" showAll="0">
      <items count="557">
        <item x="427"/>
        <item x="9"/>
        <item x="308"/>
        <item x="270"/>
        <item x="392"/>
        <item x="389"/>
        <item x="350"/>
        <item x="437"/>
        <item x="177"/>
        <item x="476"/>
        <item x="292"/>
        <item x="256"/>
        <item x="346"/>
        <item x="231"/>
        <item x="322"/>
        <item x="14"/>
        <item x="349"/>
        <item x="37"/>
        <item x="457"/>
        <item x="279"/>
        <item x="36"/>
        <item x="442"/>
        <item x="287"/>
        <item x="223"/>
        <item x="365"/>
        <item x="537"/>
        <item x="224"/>
        <item x="455"/>
        <item x="281"/>
        <item x="382"/>
        <item x="280"/>
        <item x="295"/>
        <item x="411"/>
        <item x="484"/>
        <item x="276"/>
        <item x="265"/>
        <item x="540"/>
        <item x="361"/>
        <item x="202"/>
        <item x="106"/>
        <item x="162"/>
        <item x="510"/>
        <item x="145"/>
        <item x="509"/>
        <item x="479"/>
        <item x="89"/>
        <item x="164"/>
        <item x="199"/>
        <item x="73"/>
        <item x="521"/>
        <item x="78"/>
        <item x="22"/>
        <item x="285"/>
        <item x="30"/>
        <item x="239"/>
        <item x="74"/>
        <item x="494"/>
        <item x="472"/>
        <item x="407"/>
        <item x="186"/>
        <item x="53"/>
        <item x="299"/>
        <item x="129"/>
        <item x="132"/>
        <item x="266"/>
        <item x="409"/>
        <item x="387"/>
        <item x="345"/>
        <item x="438"/>
        <item x="493"/>
        <item x="511"/>
        <item x="551"/>
        <item x="189"/>
        <item x="528"/>
        <item x="552"/>
        <item x="486"/>
        <item x="194"/>
        <item x="502"/>
        <item x="453"/>
        <item x="258"/>
        <item x="221"/>
        <item x="504"/>
        <item x="34"/>
        <item x="91"/>
        <item x="310"/>
        <item x="237"/>
        <item x="525"/>
        <item x="539"/>
        <item x="69"/>
        <item x="62"/>
        <item x="18"/>
        <item x="314"/>
        <item x="546"/>
        <item x="138"/>
        <item x="357"/>
        <item x="290"/>
        <item x="384"/>
        <item x="545"/>
        <item x="360"/>
        <item x="474"/>
        <item x="193"/>
        <item x="151"/>
        <item x="115"/>
        <item x="61"/>
        <item x="520"/>
        <item x="183"/>
        <item x="368"/>
        <item x="203"/>
        <item x="104"/>
        <item x="243"/>
        <item x="80"/>
        <item x="300"/>
        <item x="304"/>
        <item x="122"/>
        <item x="55"/>
        <item x="288"/>
        <item x="527"/>
        <item x="200"/>
        <item x="181"/>
        <item x="375"/>
        <item x="191"/>
        <item x="82"/>
        <item x="444"/>
        <item x="154"/>
        <item x="149"/>
        <item x="103"/>
        <item x="142"/>
        <item x="161"/>
        <item x="105"/>
        <item x="524"/>
        <item x="321"/>
        <item x="96"/>
        <item x="410"/>
        <item x="461"/>
        <item x="323"/>
        <item x="475"/>
        <item x="352"/>
        <item x="470"/>
        <item x="440"/>
        <item x="39"/>
        <item x="379"/>
        <item x="4"/>
        <item x="110"/>
        <item x="413"/>
        <item x="490"/>
        <item x="555"/>
        <item x="547"/>
        <item x="16"/>
        <item x="21"/>
        <item x="514"/>
        <item x="31"/>
        <item x="536"/>
        <item x="26"/>
        <item x="401"/>
        <item x="125"/>
        <item x="244"/>
        <item x="394"/>
        <item x="306"/>
        <item x="124"/>
        <item x="15"/>
        <item x="58"/>
        <item x="17"/>
        <item x="24"/>
        <item x="114"/>
        <item x="329"/>
        <item x="313"/>
        <item x="462"/>
        <item x="324"/>
        <item x="141"/>
        <item x="71"/>
        <item x="11"/>
        <item x="118"/>
        <item x="512"/>
        <item x="236"/>
        <item x="386"/>
        <item x="215"/>
        <item x="225"/>
        <item x="211"/>
        <item x="340"/>
        <item x="173"/>
        <item x="485"/>
        <item x="257"/>
        <item x="255"/>
        <item x="296"/>
        <item x="434"/>
        <item x="3"/>
        <item x="315"/>
        <item x="418"/>
        <item x="515"/>
        <item x="204"/>
        <item x="293"/>
        <item x="416"/>
        <item x="8"/>
        <item x="12"/>
        <item x="229"/>
        <item x="344"/>
        <item x="165"/>
        <item x="393"/>
        <item x="273"/>
        <item x="358"/>
        <item x="97"/>
        <item x="27"/>
        <item x="534"/>
        <item x="268"/>
        <item x="388"/>
        <item x="57"/>
        <item x="330"/>
        <item x="488"/>
        <item x="482"/>
        <item x="487"/>
        <item x="421"/>
        <item x="286"/>
        <item x="128"/>
        <item x="267"/>
        <item x="498"/>
        <item x="464"/>
        <item x="143"/>
        <item x="197"/>
        <item x="272"/>
        <item x="449"/>
        <item x="113"/>
        <item x="383"/>
        <item x="250"/>
        <item x="20"/>
        <item x="341"/>
        <item x="381"/>
        <item x="402"/>
        <item x="6"/>
        <item x="480"/>
        <item x="241"/>
        <item x="278"/>
        <item x="79"/>
        <item x="499"/>
        <item x="328"/>
        <item x="481"/>
        <item x="496"/>
        <item x="98"/>
        <item x="234"/>
        <item x="107"/>
        <item x="95"/>
        <item x="81"/>
        <item x="372"/>
        <item x="400"/>
        <item x="348"/>
        <item x="159"/>
        <item x="144"/>
        <item x="309"/>
        <item x="168"/>
        <item x="190"/>
        <item x="316"/>
        <item x="429"/>
        <item x="398"/>
        <item x="169"/>
        <item x="471"/>
        <item x="60"/>
        <item x="500"/>
        <item x="332"/>
        <item x="454"/>
        <item x="50"/>
        <item x="65"/>
        <item x="135"/>
        <item x="230"/>
        <item x="38"/>
        <item x="274"/>
        <item x="456"/>
        <item x="428"/>
        <item x="127"/>
        <item x="450"/>
        <item x="406"/>
        <item x="468"/>
        <item x="171"/>
        <item x="446"/>
        <item x="549"/>
        <item x="439"/>
        <item x="359"/>
        <item x="355"/>
        <item x="133"/>
        <item x="283"/>
        <item x="353"/>
        <item x="338"/>
        <item x="458"/>
        <item x="49"/>
        <item x="436"/>
        <item x="302"/>
        <item x="90"/>
        <item x="542"/>
        <item x="208"/>
        <item x="431"/>
        <item x="46"/>
        <item x="501"/>
        <item x="166"/>
        <item x="163"/>
        <item x="52"/>
        <item x="326"/>
        <item x="425"/>
        <item x="72"/>
        <item x="201"/>
        <item x="298"/>
        <item x="45"/>
        <item x="63"/>
        <item x="544"/>
        <item x="112"/>
        <item x="214"/>
        <item x="175"/>
        <item x="391"/>
        <item x="289"/>
        <item x="467"/>
        <item x="235"/>
        <item x="469"/>
        <item x="373"/>
        <item x="506"/>
        <item x="342"/>
        <item x="339"/>
        <item x="209"/>
        <item x="42"/>
        <item x="325"/>
        <item x="0"/>
        <item x="213"/>
        <item x="170"/>
        <item x="441"/>
        <item x="351"/>
        <item x="187"/>
        <item x="489"/>
        <item x="311"/>
        <item x="371"/>
        <item x="75"/>
        <item x="443"/>
        <item x="245"/>
        <item x="531"/>
        <item x="10"/>
        <item x="291"/>
        <item x="447"/>
        <item x="380"/>
        <item x="334"/>
        <item x="262"/>
        <item x="519"/>
        <item x="364"/>
        <item x="497"/>
        <item x="94"/>
        <item x="67"/>
        <item x="130"/>
        <item x="508"/>
        <item x="433"/>
        <item x="399"/>
        <item x="205"/>
        <item x="56"/>
        <item x="420"/>
        <item x="111"/>
        <item x="121"/>
        <item x="347"/>
        <item x="219"/>
        <item x="408"/>
        <item x="530"/>
        <item x="473"/>
        <item x="40"/>
        <item x="337"/>
        <item x="403"/>
        <item x="465"/>
        <item x="251"/>
        <item x="333"/>
        <item x="83"/>
        <item x="463"/>
        <item x="430"/>
        <item x="86"/>
        <item x="263"/>
        <item x="369"/>
        <item x="363"/>
        <item x="167"/>
        <item x="158"/>
        <item x="41"/>
        <item x="419"/>
        <item x="228"/>
        <item x="376"/>
        <item x="68"/>
        <item x="477"/>
        <item x="7"/>
        <item x="77"/>
        <item x="483"/>
        <item x="460"/>
        <item x="116"/>
        <item x="137"/>
        <item x="5"/>
        <item x="25"/>
        <item x="93"/>
        <item x="117"/>
        <item x="269"/>
        <item x="492"/>
        <item x="180"/>
        <item x="222"/>
        <item x="233"/>
        <item x="435"/>
        <item x="277"/>
        <item x="29"/>
        <item x="19"/>
        <item x="198"/>
        <item x="354"/>
        <item x="248"/>
        <item x="178"/>
        <item x="249"/>
        <item x="260"/>
        <item x="550"/>
        <item x="156"/>
        <item x="218"/>
        <item x="212"/>
        <item x="247"/>
        <item x="108"/>
        <item x="216"/>
        <item x="210"/>
        <item x="271"/>
        <item x="466"/>
        <item x="184"/>
        <item x="242"/>
        <item x="254"/>
        <item x="92"/>
        <item x="432"/>
        <item x="331"/>
        <item x="179"/>
        <item x="119"/>
        <item x="507"/>
        <item x="307"/>
        <item x="318"/>
        <item x="397"/>
        <item x="196"/>
        <item x="553"/>
        <item x="66"/>
        <item x="188"/>
        <item x="54"/>
        <item x="157"/>
        <item x="517"/>
        <item x="390"/>
        <item x="101"/>
        <item x="516"/>
        <item x="297"/>
        <item x="529"/>
        <item x="294"/>
        <item x="495"/>
        <item x="404"/>
        <item x="59"/>
        <item x="414"/>
        <item x="182"/>
        <item x="160"/>
        <item x="185"/>
        <item x="207"/>
        <item x="109"/>
        <item x="356"/>
        <item x="220"/>
        <item x="505"/>
        <item x="312"/>
        <item x="385"/>
        <item x="261"/>
        <item x="445"/>
        <item x="335"/>
        <item x="238"/>
        <item x="377"/>
        <item x="155"/>
        <item x="35"/>
        <item x="227"/>
        <item x="301"/>
        <item x="88"/>
        <item x="153"/>
        <item x="48"/>
        <item x="148"/>
        <item x="533"/>
        <item x="367"/>
        <item x="136"/>
        <item x="317"/>
        <item x="246"/>
        <item x="370"/>
        <item x="2"/>
        <item x="126"/>
        <item x="240"/>
        <item x="518"/>
        <item x="51"/>
        <item x="174"/>
        <item x="282"/>
        <item x="459"/>
        <item x="85"/>
        <item x="336"/>
        <item x="478"/>
        <item x="232"/>
        <item x="535"/>
        <item x="396"/>
        <item x="217"/>
        <item x="415"/>
        <item x="412"/>
        <item x="23"/>
        <item x="176"/>
        <item x="327"/>
        <item x="395"/>
        <item x="150"/>
        <item x="543"/>
        <item x="253"/>
        <item x="538"/>
        <item x="140"/>
        <item x="554"/>
        <item x="131"/>
        <item x="422"/>
        <item x="1"/>
        <item x="451"/>
        <item x="491"/>
        <item x="146"/>
        <item x="426"/>
        <item x="374"/>
        <item x="405"/>
        <item x="70"/>
        <item x="320"/>
        <item x="120"/>
        <item x="541"/>
        <item x="343"/>
        <item x="452"/>
        <item x="43"/>
        <item x="47"/>
        <item x="172"/>
        <item x="275"/>
        <item x="99"/>
        <item x="152"/>
        <item x="139"/>
        <item x="378"/>
        <item x="87"/>
        <item x="64"/>
        <item x="526"/>
        <item x="134"/>
        <item x="147"/>
        <item x="423"/>
        <item x="102"/>
        <item x="76"/>
        <item x="13"/>
        <item x="366"/>
        <item x="195"/>
        <item x="417"/>
        <item x="264"/>
        <item x="32"/>
        <item x="192"/>
        <item x="259"/>
        <item x="532"/>
        <item x="206"/>
        <item x="305"/>
        <item x="362"/>
        <item x="448"/>
        <item x="100"/>
        <item x="226"/>
        <item x="522"/>
        <item x="252"/>
        <item x="284"/>
        <item x="303"/>
        <item x="84"/>
        <item x="503"/>
        <item x="33"/>
        <item x="28"/>
        <item x="424"/>
        <item x="44"/>
        <item x="513"/>
        <item x="123"/>
        <item x="548"/>
        <item x="523"/>
        <item x="319"/>
        <item t="default"/>
      </items>
    </pivotField>
    <pivotField numFmtId="14" showAll="0"/>
    <pivotField showAll="0"/>
    <pivotField showAll="0"/>
    <pivotField showAll="0">
      <items count="4">
        <item x="0"/>
        <item x="2"/>
        <item x="1"/>
        <item t="default"/>
      </items>
    </pivotField>
    <pivotField showAll="0"/>
    <pivotField showAll="0"/>
    <pivotField showAll="0">
      <items count="5">
        <item x="3"/>
        <item x="1"/>
        <item x="2"/>
        <item x="0"/>
        <item t="default"/>
      </items>
    </pivotField>
    <pivotField axis="axisRow" showAll="0">
      <items count="4">
        <item x="1"/>
        <item x="2"/>
        <item x="0"/>
        <item t="default"/>
      </items>
    </pivotField>
    <pivotField showAll="0"/>
    <pivotField showAll="0"/>
    <pivotField numFmtId="164" showAll="0"/>
    <pivotField showAll="0"/>
    <pivotField numFmtId="9" showAll="0"/>
    <pivotField dataField="1" numFmtId="164" showAll="0"/>
    <pivotField showAll="0">
      <items count="9">
        <item x="5"/>
        <item x="6"/>
        <item x="0"/>
        <item x="7"/>
        <item x="1"/>
        <item x="3"/>
        <item x="4"/>
        <item x="2"/>
        <item t="default"/>
      </items>
    </pivotField>
    <pivotField showAll="0">
      <items count="5">
        <item x="3"/>
        <item x="0"/>
        <item x="1"/>
        <item x="2"/>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9"/>
  </rowFields>
  <rowItems count="4">
    <i>
      <x/>
    </i>
    <i>
      <x v="1"/>
    </i>
    <i>
      <x v="2"/>
    </i>
    <i t="grand">
      <x/>
    </i>
  </rowItems>
  <colItems count="1">
    <i/>
  </colItems>
  <dataFields count="1">
    <dataField name="Sum of Profit" fld="15" baseField="0" baseItem="0" numFmtId="164"/>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9" count="1" selected="0">
            <x v="0"/>
          </reference>
        </references>
      </pivotArea>
    </chartFormat>
    <chartFormat chart="4" format="7">
      <pivotArea type="data" outline="0" fieldPosition="0">
        <references count="2">
          <reference field="4294967294" count="1" selected="0">
            <x v="0"/>
          </reference>
          <reference field="9" count="1" selected="0">
            <x v="1"/>
          </reference>
        </references>
      </pivotArea>
    </chartFormat>
    <chartFormat chart="4" format="8">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7DF0A3E-F339-48F9-94F2-BACD4A614C6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7:N16" firstHeaderRow="1" firstDataRow="1" firstDataCol="1"/>
  <pivotFields count="20">
    <pivotField showAll="0"/>
    <pivotField numFmtId="14" showAll="0">
      <items count="557">
        <item x="427"/>
        <item x="9"/>
        <item x="308"/>
        <item x="270"/>
        <item x="392"/>
        <item x="389"/>
        <item x="350"/>
        <item x="437"/>
        <item x="177"/>
        <item x="476"/>
        <item x="292"/>
        <item x="256"/>
        <item x="346"/>
        <item x="231"/>
        <item x="322"/>
        <item x="14"/>
        <item x="349"/>
        <item x="37"/>
        <item x="457"/>
        <item x="279"/>
        <item x="36"/>
        <item x="442"/>
        <item x="287"/>
        <item x="223"/>
        <item x="365"/>
        <item x="537"/>
        <item x="224"/>
        <item x="455"/>
        <item x="281"/>
        <item x="382"/>
        <item x="280"/>
        <item x="295"/>
        <item x="411"/>
        <item x="484"/>
        <item x="276"/>
        <item x="265"/>
        <item x="540"/>
        <item x="361"/>
        <item x="202"/>
        <item x="106"/>
        <item x="162"/>
        <item x="510"/>
        <item x="145"/>
        <item x="509"/>
        <item x="479"/>
        <item x="89"/>
        <item x="164"/>
        <item x="199"/>
        <item x="73"/>
        <item x="521"/>
        <item x="78"/>
        <item x="22"/>
        <item x="285"/>
        <item x="30"/>
        <item x="239"/>
        <item x="74"/>
        <item x="494"/>
        <item x="472"/>
        <item x="407"/>
        <item x="186"/>
        <item x="53"/>
        <item x="299"/>
        <item x="129"/>
        <item x="132"/>
        <item x="266"/>
        <item x="409"/>
        <item x="387"/>
        <item x="345"/>
        <item x="438"/>
        <item x="493"/>
        <item x="511"/>
        <item x="551"/>
        <item x="189"/>
        <item x="528"/>
        <item x="552"/>
        <item x="486"/>
        <item x="194"/>
        <item x="502"/>
        <item x="453"/>
        <item x="258"/>
        <item x="221"/>
        <item x="504"/>
        <item x="34"/>
        <item x="91"/>
        <item x="310"/>
        <item x="237"/>
        <item x="525"/>
        <item x="539"/>
        <item x="69"/>
        <item x="62"/>
        <item x="18"/>
        <item x="314"/>
        <item x="546"/>
        <item x="138"/>
        <item x="357"/>
        <item x="290"/>
        <item x="384"/>
        <item x="545"/>
        <item x="360"/>
        <item x="474"/>
        <item x="193"/>
        <item x="151"/>
        <item x="115"/>
        <item x="61"/>
        <item x="520"/>
        <item x="183"/>
        <item x="368"/>
        <item x="203"/>
        <item x="104"/>
        <item x="243"/>
        <item x="80"/>
        <item x="300"/>
        <item x="304"/>
        <item x="122"/>
        <item x="55"/>
        <item x="288"/>
        <item x="527"/>
        <item x="200"/>
        <item x="181"/>
        <item x="375"/>
        <item x="191"/>
        <item x="82"/>
        <item x="444"/>
        <item x="154"/>
        <item x="149"/>
        <item x="103"/>
        <item x="142"/>
        <item x="161"/>
        <item x="105"/>
        <item x="524"/>
        <item x="321"/>
        <item x="96"/>
        <item x="410"/>
        <item x="461"/>
        <item x="323"/>
        <item x="475"/>
        <item x="352"/>
        <item x="470"/>
        <item x="440"/>
        <item x="39"/>
        <item x="379"/>
        <item x="4"/>
        <item x="110"/>
        <item x="413"/>
        <item x="490"/>
        <item x="555"/>
        <item x="547"/>
        <item x="16"/>
        <item x="21"/>
        <item x="514"/>
        <item x="31"/>
        <item x="536"/>
        <item x="26"/>
        <item x="401"/>
        <item x="125"/>
        <item x="244"/>
        <item x="394"/>
        <item x="306"/>
        <item x="124"/>
        <item x="15"/>
        <item x="58"/>
        <item x="17"/>
        <item x="24"/>
        <item x="114"/>
        <item x="329"/>
        <item x="313"/>
        <item x="462"/>
        <item x="324"/>
        <item x="141"/>
        <item x="71"/>
        <item x="11"/>
        <item x="118"/>
        <item x="512"/>
        <item x="236"/>
        <item x="386"/>
        <item x="215"/>
        <item x="225"/>
        <item x="211"/>
        <item x="340"/>
        <item x="173"/>
        <item x="485"/>
        <item x="257"/>
        <item x="255"/>
        <item x="296"/>
        <item x="434"/>
        <item x="3"/>
        <item x="315"/>
        <item x="418"/>
        <item x="515"/>
        <item x="204"/>
        <item x="293"/>
        <item x="416"/>
        <item x="8"/>
        <item x="12"/>
        <item x="229"/>
        <item x="344"/>
        <item x="165"/>
        <item x="393"/>
        <item x="273"/>
        <item x="358"/>
        <item x="97"/>
        <item x="27"/>
        <item x="534"/>
        <item x="268"/>
        <item x="388"/>
        <item x="57"/>
        <item x="330"/>
        <item x="488"/>
        <item x="482"/>
        <item x="487"/>
        <item x="421"/>
        <item x="286"/>
        <item x="128"/>
        <item x="267"/>
        <item x="498"/>
        <item x="464"/>
        <item x="143"/>
        <item x="197"/>
        <item x="272"/>
        <item x="449"/>
        <item x="113"/>
        <item x="383"/>
        <item x="250"/>
        <item x="20"/>
        <item x="341"/>
        <item x="381"/>
        <item x="402"/>
        <item x="6"/>
        <item x="480"/>
        <item x="241"/>
        <item x="278"/>
        <item x="79"/>
        <item x="499"/>
        <item x="328"/>
        <item x="481"/>
        <item x="496"/>
        <item x="98"/>
        <item x="234"/>
        <item x="107"/>
        <item x="95"/>
        <item x="81"/>
        <item x="372"/>
        <item x="400"/>
        <item x="348"/>
        <item x="159"/>
        <item x="144"/>
        <item x="309"/>
        <item x="168"/>
        <item x="190"/>
        <item x="316"/>
        <item x="429"/>
        <item x="398"/>
        <item x="169"/>
        <item x="471"/>
        <item x="60"/>
        <item x="500"/>
        <item x="332"/>
        <item x="454"/>
        <item x="50"/>
        <item x="65"/>
        <item x="135"/>
        <item x="230"/>
        <item x="38"/>
        <item x="274"/>
        <item x="456"/>
        <item x="428"/>
        <item x="127"/>
        <item x="450"/>
        <item x="406"/>
        <item x="468"/>
        <item x="171"/>
        <item x="446"/>
        <item x="549"/>
        <item x="439"/>
        <item x="359"/>
        <item x="355"/>
        <item x="133"/>
        <item x="283"/>
        <item x="353"/>
        <item x="338"/>
        <item x="458"/>
        <item x="49"/>
        <item x="436"/>
        <item x="302"/>
        <item x="90"/>
        <item x="542"/>
        <item x="208"/>
        <item x="431"/>
        <item x="46"/>
        <item x="501"/>
        <item x="166"/>
        <item x="163"/>
        <item x="52"/>
        <item x="326"/>
        <item x="425"/>
        <item x="72"/>
        <item x="201"/>
        <item x="298"/>
        <item x="45"/>
        <item x="63"/>
        <item x="544"/>
        <item x="112"/>
        <item x="214"/>
        <item x="175"/>
        <item x="391"/>
        <item x="289"/>
        <item x="467"/>
        <item x="235"/>
        <item x="469"/>
        <item x="373"/>
        <item x="506"/>
        <item x="342"/>
        <item x="339"/>
        <item x="209"/>
        <item x="42"/>
        <item x="325"/>
        <item x="0"/>
        <item x="213"/>
        <item x="170"/>
        <item x="441"/>
        <item x="351"/>
        <item x="187"/>
        <item x="489"/>
        <item x="311"/>
        <item x="371"/>
        <item x="75"/>
        <item x="443"/>
        <item x="245"/>
        <item x="531"/>
        <item x="10"/>
        <item x="291"/>
        <item x="447"/>
        <item x="380"/>
        <item x="334"/>
        <item x="262"/>
        <item x="519"/>
        <item x="364"/>
        <item x="497"/>
        <item x="94"/>
        <item x="67"/>
        <item x="130"/>
        <item x="508"/>
        <item x="433"/>
        <item x="399"/>
        <item x="205"/>
        <item x="56"/>
        <item x="420"/>
        <item x="111"/>
        <item x="121"/>
        <item x="347"/>
        <item x="219"/>
        <item x="408"/>
        <item x="530"/>
        <item x="473"/>
        <item x="40"/>
        <item x="337"/>
        <item x="403"/>
        <item x="465"/>
        <item x="251"/>
        <item x="333"/>
        <item x="83"/>
        <item x="463"/>
        <item x="430"/>
        <item x="86"/>
        <item x="263"/>
        <item x="369"/>
        <item x="363"/>
        <item x="167"/>
        <item x="158"/>
        <item x="41"/>
        <item x="419"/>
        <item x="228"/>
        <item x="376"/>
        <item x="68"/>
        <item x="477"/>
        <item x="7"/>
        <item x="77"/>
        <item x="483"/>
        <item x="460"/>
        <item x="116"/>
        <item x="137"/>
        <item x="5"/>
        <item x="25"/>
        <item x="93"/>
        <item x="117"/>
        <item x="269"/>
        <item x="492"/>
        <item x="180"/>
        <item x="222"/>
        <item x="233"/>
        <item x="435"/>
        <item x="277"/>
        <item x="29"/>
        <item x="19"/>
        <item x="198"/>
        <item x="354"/>
        <item x="248"/>
        <item x="178"/>
        <item x="249"/>
        <item x="260"/>
        <item x="550"/>
        <item x="156"/>
        <item x="218"/>
        <item x="212"/>
        <item x="247"/>
        <item x="108"/>
        <item x="216"/>
        <item x="210"/>
        <item x="271"/>
        <item x="466"/>
        <item x="184"/>
        <item x="242"/>
        <item x="254"/>
        <item x="92"/>
        <item x="432"/>
        <item x="331"/>
        <item x="179"/>
        <item x="119"/>
        <item x="507"/>
        <item x="307"/>
        <item x="318"/>
        <item x="397"/>
        <item x="196"/>
        <item x="553"/>
        <item x="66"/>
        <item x="188"/>
        <item x="54"/>
        <item x="157"/>
        <item x="517"/>
        <item x="390"/>
        <item x="101"/>
        <item x="516"/>
        <item x="297"/>
        <item x="529"/>
        <item x="294"/>
        <item x="495"/>
        <item x="404"/>
        <item x="59"/>
        <item x="414"/>
        <item x="182"/>
        <item x="160"/>
        <item x="185"/>
        <item x="207"/>
        <item x="109"/>
        <item x="356"/>
        <item x="220"/>
        <item x="505"/>
        <item x="312"/>
        <item x="385"/>
        <item x="261"/>
        <item x="445"/>
        <item x="335"/>
        <item x="238"/>
        <item x="377"/>
        <item x="155"/>
        <item x="35"/>
        <item x="227"/>
        <item x="301"/>
        <item x="88"/>
        <item x="153"/>
        <item x="48"/>
        <item x="148"/>
        <item x="533"/>
        <item x="367"/>
        <item x="136"/>
        <item x="317"/>
        <item x="246"/>
        <item x="370"/>
        <item x="2"/>
        <item x="126"/>
        <item x="240"/>
        <item x="518"/>
        <item x="51"/>
        <item x="174"/>
        <item x="282"/>
        <item x="459"/>
        <item x="85"/>
        <item x="336"/>
        <item x="478"/>
        <item x="232"/>
        <item x="535"/>
        <item x="396"/>
        <item x="217"/>
        <item x="415"/>
        <item x="412"/>
        <item x="23"/>
        <item x="176"/>
        <item x="327"/>
        <item x="395"/>
        <item x="150"/>
        <item x="543"/>
        <item x="253"/>
        <item x="538"/>
        <item x="140"/>
        <item x="554"/>
        <item x="131"/>
        <item x="422"/>
        <item x="1"/>
        <item x="451"/>
        <item x="491"/>
        <item x="146"/>
        <item x="426"/>
        <item x="374"/>
        <item x="405"/>
        <item x="70"/>
        <item x="320"/>
        <item x="120"/>
        <item x="541"/>
        <item x="343"/>
        <item x="452"/>
        <item x="43"/>
        <item x="47"/>
        <item x="172"/>
        <item x="275"/>
        <item x="99"/>
        <item x="152"/>
        <item x="139"/>
        <item x="378"/>
        <item x="87"/>
        <item x="64"/>
        <item x="526"/>
        <item x="134"/>
        <item x="147"/>
        <item x="423"/>
        <item x="102"/>
        <item x="76"/>
        <item x="13"/>
        <item x="366"/>
        <item x="195"/>
        <item x="417"/>
        <item x="264"/>
        <item x="32"/>
        <item x="192"/>
        <item x="259"/>
        <item x="532"/>
        <item x="206"/>
        <item x="305"/>
        <item x="362"/>
        <item x="448"/>
        <item x="100"/>
        <item x="226"/>
        <item x="522"/>
        <item x="252"/>
        <item x="284"/>
        <item x="303"/>
        <item x="84"/>
        <item x="503"/>
        <item x="33"/>
        <item x="28"/>
        <item x="424"/>
        <item x="44"/>
        <item x="513"/>
        <item x="123"/>
        <item x="548"/>
        <item x="523"/>
        <item x="319"/>
        <item t="default"/>
      </items>
    </pivotField>
    <pivotField numFmtId="14" showAll="0"/>
    <pivotField showAll="0"/>
    <pivotField showAll="0"/>
    <pivotField showAll="0">
      <items count="4">
        <item x="0"/>
        <item x="2"/>
        <item x="1"/>
        <item t="default"/>
      </items>
    </pivotField>
    <pivotField showAll="0"/>
    <pivotField showAll="0"/>
    <pivotField showAll="0">
      <items count="5">
        <item x="3"/>
        <item x="1"/>
        <item x="2"/>
        <item x="0"/>
        <item t="default"/>
      </items>
    </pivotField>
    <pivotField showAll="0">
      <items count="4">
        <item x="1"/>
        <item x="2"/>
        <item x="0"/>
        <item t="default"/>
      </items>
    </pivotField>
    <pivotField showAll="0"/>
    <pivotField showAll="0"/>
    <pivotField dataField="1" numFmtId="164" showAll="0"/>
    <pivotField showAll="0"/>
    <pivotField numFmtId="9" showAll="0"/>
    <pivotField numFmtId="164" showAll="0"/>
    <pivotField axis="axisRow" showAll="0" sortType="descending">
      <items count="9">
        <item x="5"/>
        <item x="6"/>
        <item x="0"/>
        <item x="7"/>
        <item x="1"/>
        <item x="3"/>
        <item x="4"/>
        <item x="2"/>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6"/>
  </rowFields>
  <rowItems count="9">
    <i>
      <x v="6"/>
    </i>
    <i>
      <x v="3"/>
    </i>
    <i>
      <x v="5"/>
    </i>
    <i>
      <x v="2"/>
    </i>
    <i>
      <x v="4"/>
    </i>
    <i>
      <x v="7"/>
    </i>
    <i>
      <x/>
    </i>
    <i>
      <x v="1"/>
    </i>
    <i t="grand">
      <x/>
    </i>
  </rowItems>
  <colItems count="1">
    <i/>
  </colItems>
  <dataFields count="1">
    <dataField name="Sum of Sales" fld="1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B21986-C7A8-4F2E-AECC-9A3F7486CB6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5:B58" firstHeaderRow="1" firstDataRow="1" firstDataCol="1"/>
  <pivotFields count="20">
    <pivotField showAll="0"/>
    <pivotField numFmtId="14" showAll="0">
      <items count="557">
        <item x="427"/>
        <item x="9"/>
        <item x="308"/>
        <item x="270"/>
        <item x="392"/>
        <item x="389"/>
        <item x="350"/>
        <item x="437"/>
        <item x="177"/>
        <item x="476"/>
        <item x="292"/>
        <item x="256"/>
        <item x="346"/>
        <item x="231"/>
        <item x="322"/>
        <item x="14"/>
        <item x="349"/>
        <item x="37"/>
        <item x="457"/>
        <item x="279"/>
        <item x="36"/>
        <item x="442"/>
        <item x="287"/>
        <item x="223"/>
        <item x="365"/>
        <item x="537"/>
        <item x="224"/>
        <item x="455"/>
        <item x="281"/>
        <item x="382"/>
        <item x="280"/>
        <item x="295"/>
        <item x="411"/>
        <item x="484"/>
        <item x="276"/>
        <item x="265"/>
        <item x="540"/>
        <item x="361"/>
        <item x="202"/>
        <item x="106"/>
        <item x="162"/>
        <item x="510"/>
        <item x="145"/>
        <item x="509"/>
        <item x="479"/>
        <item x="89"/>
        <item x="164"/>
        <item x="199"/>
        <item x="73"/>
        <item x="521"/>
        <item x="78"/>
        <item x="22"/>
        <item x="285"/>
        <item x="30"/>
        <item x="239"/>
        <item x="74"/>
        <item x="494"/>
        <item x="472"/>
        <item x="407"/>
        <item x="186"/>
        <item x="53"/>
        <item x="299"/>
        <item x="129"/>
        <item x="132"/>
        <item x="266"/>
        <item x="409"/>
        <item x="387"/>
        <item x="345"/>
        <item x="438"/>
        <item x="493"/>
        <item x="511"/>
        <item x="551"/>
        <item x="189"/>
        <item x="528"/>
        <item x="552"/>
        <item x="486"/>
        <item x="194"/>
        <item x="502"/>
        <item x="453"/>
        <item x="258"/>
        <item x="221"/>
        <item x="504"/>
        <item x="34"/>
        <item x="91"/>
        <item x="310"/>
        <item x="237"/>
        <item x="525"/>
        <item x="539"/>
        <item x="69"/>
        <item x="62"/>
        <item x="18"/>
        <item x="314"/>
        <item x="546"/>
        <item x="138"/>
        <item x="357"/>
        <item x="290"/>
        <item x="384"/>
        <item x="545"/>
        <item x="360"/>
        <item x="474"/>
        <item x="193"/>
        <item x="151"/>
        <item x="115"/>
        <item x="61"/>
        <item x="520"/>
        <item x="183"/>
        <item x="368"/>
        <item x="203"/>
        <item x="104"/>
        <item x="243"/>
        <item x="80"/>
        <item x="300"/>
        <item x="304"/>
        <item x="122"/>
        <item x="55"/>
        <item x="288"/>
        <item x="527"/>
        <item x="200"/>
        <item x="181"/>
        <item x="375"/>
        <item x="191"/>
        <item x="82"/>
        <item x="444"/>
        <item x="154"/>
        <item x="149"/>
        <item x="103"/>
        <item x="142"/>
        <item x="161"/>
        <item x="105"/>
        <item x="524"/>
        <item x="321"/>
        <item x="96"/>
        <item x="410"/>
        <item x="461"/>
        <item x="323"/>
        <item x="475"/>
        <item x="352"/>
        <item x="470"/>
        <item x="440"/>
        <item x="39"/>
        <item x="379"/>
        <item x="4"/>
        <item x="110"/>
        <item x="413"/>
        <item x="490"/>
        <item x="555"/>
        <item x="547"/>
        <item x="16"/>
        <item x="21"/>
        <item x="514"/>
        <item x="31"/>
        <item x="536"/>
        <item x="26"/>
        <item x="401"/>
        <item x="125"/>
        <item x="244"/>
        <item x="394"/>
        <item x="306"/>
        <item x="124"/>
        <item x="15"/>
        <item x="58"/>
        <item x="17"/>
        <item x="24"/>
        <item x="114"/>
        <item x="329"/>
        <item x="313"/>
        <item x="462"/>
        <item x="324"/>
        <item x="141"/>
        <item x="71"/>
        <item x="11"/>
        <item x="118"/>
        <item x="512"/>
        <item x="236"/>
        <item x="386"/>
        <item x="215"/>
        <item x="225"/>
        <item x="211"/>
        <item x="340"/>
        <item x="173"/>
        <item x="485"/>
        <item x="257"/>
        <item x="255"/>
        <item x="296"/>
        <item x="434"/>
        <item x="3"/>
        <item x="315"/>
        <item x="418"/>
        <item x="515"/>
        <item x="204"/>
        <item x="293"/>
        <item x="416"/>
        <item x="8"/>
        <item x="12"/>
        <item x="229"/>
        <item x="344"/>
        <item x="165"/>
        <item x="393"/>
        <item x="273"/>
        <item x="358"/>
        <item x="97"/>
        <item x="27"/>
        <item x="534"/>
        <item x="268"/>
        <item x="388"/>
        <item x="57"/>
        <item x="330"/>
        <item x="488"/>
        <item x="482"/>
        <item x="487"/>
        <item x="421"/>
        <item x="286"/>
        <item x="128"/>
        <item x="267"/>
        <item x="498"/>
        <item x="464"/>
        <item x="143"/>
        <item x="197"/>
        <item x="272"/>
        <item x="449"/>
        <item x="113"/>
        <item x="383"/>
        <item x="250"/>
        <item x="20"/>
        <item x="341"/>
        <item x="381"/>
        <item x="402"/>
        <item x="6"/>
        <item x="480"/>
        <item x="241"/>
        <item x="278"/>
        <item x="79"/>
        <item x="499"/>
        <item x="328"/>
        <item x="481"/>
        <item x="496"/>
        <item x="98"/>
        <item x="234"/>
        <item x="107"/>
        <item x="95"/>
        <item x="81"/>
        <item x="372"/>
        <item x="400"/>
        <item x="348"/>
        <item x="159"/>
        <item x="144"/>
        <item x="309"/>
        <item x="168"/>
        <item x="190"/>
        <item x="316"/>
        <item x="429"/>
        <item x="398"/>
        <item x="169"/>
        <item x="471"/>
        <item x="60"/>
        <item x="500"/>
        <item x="332"/>
        <item x="454"/>
        <item x="50"/>
        <item x="65"/>
        <item x="135"/>
        <item x="230"/>
        <item x="38"/>
        <item x="274"/>
        <item x="456"/>
        <item x="428"/>
        <item x="127"/>
        <item x="450"/>
        <item x="406"/>
        <item x="468"/>
        <item x="171"/>
        <item x="446"/>
        <item x="549"/>
        <item x="439"/>
        <item x="359"/>
        <item x="355"/>
        <item x="133"/>
        <item x="283"/>
        <item x="353"/>
        <item x="338"/>
        <item x="458"/>
        <item x="49"/>
        <item x="436"/>
        <item x="302"/>
        <item x="90"/>
        <item x="542"/>
        <item x="208"/>
        <item x="431"/>
        <item x="46"/>
        <item x="501"/>
        <item x="166"/>
        <item x="163"/>
        <item x="52"/>
        <item x="326"/>
        <item x="425"/>
        <item x="72"/>
        <item x="201"/>
        <item x="298"/>
        <item x="45"/>
        <item x="63"/>
        <item x="544"/>
        <item x="112"/>
        <item x="214"/>
        <item x="175"/>
        <item x="391"/>
        <item x="289"/>
        <item x="467"/>
        <item x="235"/>
        <item x="469"/>
        <item x="373"/>
        <item x="506"/>
        <item x="342"/>
        <item x="339"/>
        <item x="209"/>
        <item x="42"/>
        <item x="325"/>
        <item x="0"/>
        <item x="213"/>
        <item x="170"/>
        <item x="441"/>
        <item x="351"/>
        <item x="187"/>
        <item x="489"/>
        <item x="311"/>
        <item x="371"/>
        <item x="75"/>
        <item x="443"/>
        <item x="245"/>
        <item x="531"/>
        <item x="10"/>
        <item x="291"/>
        <item x="447"/>
        <item x="380"/>
        <item x="334"/>
        <item x="262"/>
        <item x="519"/>
        <item x="364"/>
        <item x="497"/>
        <item x="94"/>
        <item x="67"/>
        <item x="130"/>
        <item x="508"/>
        <item x="433"/>
        <item x="399"/>
        <item x="205"/>
        <item x="56"/>
        <item x="420"/>
        <item x="111"/>
        <item x="121"/>
        <item x="347"/>
        <item x="219"/>
        <item x="408"/>
        <item x="530"/>
        <item x="473"/>
        <item x="40"/>
        <item x="337"/>
        <item x="403"/>
        <item x="465"/>
        <item x="251"/>
        <item x="333"/>
        <item x="83"/>
        <item x="463"/>
        <item x="430"/>
        <item x="86"/>
        <item x="263"/>
        <item x="369"/>
        <item x="363"/>
        <item x="167"/>
        <item x="158"/>
        <item x="41"/>
        <item x="419"/>
        <item x="228"/>
        <item x="376"/>
        <item x="68"/>
        <item x="477"/>
        <item x="7"/>
        <item x="77"/>
        <item x="483"/>
        <item x="460"/>
        <item x="116"/>
        <item x="137"/>
        <item x="5"/>
        <item x="25"/>
        <item x="93"/>
        <item x="117"/>
        <item x="269"/>
        <item x="492"/>
        <item x="180"/>
        <item x="222"/>
        <item x="233"/>
        <item x="435"/>
        <item x="277"/>
        <item x="29"/>
        <item x="19"/>
        <item x="198"/>
        <item x="354"/>
        <item x="248"/>
        <item x="178"/>
        <item x="249"/>
        <item x="260"/>
        <item x="550"/>
        <item x="156"/>
        <item x="218"/>
        <item x="212"/>
        <item x="247"/>
        <item x="108"/>
        <item x="216"/>
        <item x="210"/>
        <item x="271"/>
        <item x="466"/>
        <item x="184"/>
        <item x="242"/>
        <item x="254"/>
        <item x="92"/>
        <item x="432"/>
        <item x="331"/>
        <item x="179"/>
        <item x="119"/>
        <item x="507"/>
        <item x="307"/>
        <item x="318"/>
        <item x="397"/>
        <item x="196"/>
        <item x="553"/>
        <item x="66"/>
        <item x="188"/>
        <item x="54"/>
        <item x="157"/>
        <item x="517"/>
        <item x="390"/>
        <item x="101"/>
        <item x="516"/>
        <item x="297"/>
        <item x="529"/>
        <item x="294"/>
        <item x="495"/>
        <item x="404"/>
        <item x="59"/>
        <item x="414"/>
        <item x="182"/>
        <item x="160"/>
        <item x="185"/>
        <item x="207"/>
        <item x="109"/>
        <item x="356"/>
        <item x="220"/>
        <item x="505"/>
        <item x="312"/>
        <item x="385"/>
        <item x="261"/>
        <item x="445"/>
        <item x="335"/>
        <item x="238"/>
        <item x="377"/>
        <item x="155"/>
        <item x="35"/>
        <item x="227"/>
        <item x="301"/>
        <item x="88"/>
        <item x="153"/>
        <item x="48"/>
        <item x="148"/>
        <item x="533"/>
        <item x="367"/>
        <item x="136"/>
        <item x="317"/>
        <item x="246"/>
        <item x="370"/>
        <item x="2"/>
        <item x="126"/>
        <item x="240"/>
        <item x="518"/>
        <item x="51"/>
        <item x="174"/>
        <item x="282"/>
        <item x="459"/>
        <item x="85"/>
        <item x="336"/>
        <item x="478"/>
        <item x="232"/>
        <item x="535"/>
        <item x="396"/>
        <item x="217"/>
        <item x="415"/>
        <item x="412"/>
        <item x="23"/>
        <item x="176"/>
        <item x="327"/>
        <item x="395"/>
        <item x="150"/>
        <item x="543"/>
        <item x="253"/>
        <item x="538"/>
        <item x="140"/>
        <item x="554"/>
        <item x="131"/>
        <item x="422"/>
        <item x="1"/>
        <item x="451"/>
        <item x="491"/>
        <item x="146"/>
        <item x="426"/>
        <item x="374"/>
        <item x="405"/>
        <item x="70"/>
        <item x="320"/>
        <item x="120"/>
        <item x="541"/>
        <item x="343"/>
        <item x="452"/>
        <item x="43"/>
        <item x="47"/>
        <item x="172"/>
        <item x="275"/>
        <item x="99"/>
        <item x="152"/>
        <item x="139"/>
        <item x="378"/>
        <item x="87"/>
        <item x="64"/>
        <item x="526"/>
        <item x="134"/>
        <item x="147"/>
        <item x="423"/>
        <item x="102"/>
        <item x="76"/>
        <item x="13"/>
        <item x="366"/>
        <item x="195"/>
        <item x="417"/>
        <item x="264"/>
        <item x="32"/>
        <item x="192"/>
        <item x="259"/>
        <item x="532"/>
        <item x="206"/>
        <item x="305"/>
        <item x="362"/>
        <item x="448"/>
        <item x="100"/>
        <item x="226"/>
        <item x="522"/>
        <item x="252"/>
        <item x="284"/>
        <item x="303"/>
        <item x="84"/>
        <item x="503"/>
        <item x="33"/>
        <item x="28"/>
        <item x="424"/>
        <item x="44"/>
        <item x="513"/>
        <item x="123"/>
        <item x="548"/>
        <item x="523"/>
        <item x="319"/>
        <item t="default"/>
      </items>
    </pivotField>
    <pivotField numFmtId="14" showAll="0"/>
    <pivotField showAll="0"/>
    <pivotField showAll="0"/>
    <pivotField showAll="0">
      <items count="4">
        <item x="0"/>
        <item x="2"/>
        <item x="1"/>
        <item t="default"/>
      </items>
    </pivotField>
    <pivotField showAll="0"/>
    <pivotField showAll="0"/>
    <pivotField showAll="0">
      <items count="5">
        <item x="3"/>
        <item x="1"/>
        <item x="2"/>
        <item x="0"/>
        <item t="default"/>
      </items>
    </pivotField>
    <pivotField showAll="0">
      <items count="4">
        <item x="1"/>
        <item x="2"/>
        <item x="0"/>
        <item t="default"/>
      </items>
    </pivotField>
    <pivotField showAll="0"/>
    <pivotField showAll="0"/>
    <pivotField dataField="1" numFmtId="164" showAll="0"/>
    <pivotField showAll="0"/>
    <pivotField numFmtId="9" showAll="0"/>
    <pivotField numFmtId="164" showAll="0"/>
    <pivotField showAll="0">
      <items count="9">
        <item x="5"/>
        <item x="6"/>
        <item x="0"/>
        <item x="7"/>
        <item x="1"/>
        <item x="3"/>
        <item x="4"/>
        <item x="2"/>
        <item t="default"/>
      </items>
    </pivotField>
    <pivotField showAll="0">
      <items count="5">
        <item x="3"/>
        <item x="0"/>
        <item x="1"/>
        <item x="2"/>
        <item t="default"/>
      </items>
    </pivotField>
    <pivotField axis="axisRow" showAll="0">
      <items count="15">
        <item x="0"/>
        <item x="1"/>
        <item x="2"/>
        <item x="3"/>
        <item x="4"/>
        <item x="5"/>
        <item x="6"/>
        <item x="7"/>
        <item x="8"/>
        <item x="9"/>
        <item x="10"/>
        <item x="11"/>
        <item x="12"/>
        <item x="13"/>
        <item t="default"/>
      </items>
    </pivotField>
    <pivotField showAll="0">
      <items count="5">
        <item x="0"/>
        <item sd="0" x="1"/>
        <item sd="0" x="2"/>
        <item x="3"/>
        <item t="default"/>
      </items>
    </pivotField>
  </pivotFields>
  <rowFields count="1">
    <field x="18"/>
  </rowFields>
  <rowItems count="13">
    <i>
      <x v="1"/>
    </i>
    <i>
      <x v="2"/>
    </i>
    <i>
      <x v="3"/>
    </i>
    <i>
      <x v="4"/>
    </i>
    <i>
      <x v="5"/>
    </i>
    <i>
      <x v="6"/>
    </i>
    <i>
      <x v="7"/>
    </i>
    <i>
      <x v="8"/>
    </i>
    <i>
      <x v="9"/>
    </i>
    <i>
      <x v="10"/>
    </i>
    <i>
      <x v="11"/>
    </i>
    <i>
      <x v="12"/>
    </i>
    <i t="grand">
      <x/>
    </i>
  </rowItems>
  <colItems count="1">
    <i/>
  </colItems>
  <dataFields count="1">
    <dataField name="Sum of Sales" fld="12"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A6388B-A65B-4B97-B1DB-DCD298948C0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G45:H56" firstHeaderRow="1" firstDataRow="1" firstDataCol="1"/>
  <pivotFields count="20">
    <pivotField showAll="0"/>
    <pivotField numFmtId="14" showAll="0">
      <items count="557">
        <item x="427"/>
        <item x="9"/>
        <item x="308"/>
        <item x="270"/>
        <item x="392"/>
        <item x="389"/>
        <item x="350"/>
        <item x="437"/>
        <item x="177"/>
        <item x="476"/>
        <item x="292"/>
        <item x="256"/>
        <item x="346"/>
        <item x="231"/>
        <item x="322"/>
        <item x="14"/>
        <item x="349"/>
        <item x="37"/>
        <item x="457"/>
        <item x="279"/>
        <item x="36"/>
        <item x="442"/>
        <item x="287"/>
        <item x="223"/>
        <item x="365"/>
        <item x="537"/>
        <item x="224"/>
        <item x="455"/>
        <item x="281"/>
        <item x="382"/>
        <item x="280"/>
        <item x="295"/>
        <item x="411"/>
        <item x="484"/>
        <item x="276"/>
        <item x="265"/>
        <item x="540"/>
        <item x="361"/>
        <item x="202"/>
        <item x="106"/>
        <item x="162"/>
        <item x="510"/>
        <item x="145"/>
        <item x="509"/>
        <item x="479"/>
        <item x="89"/>
        <item x="164"/>
        <item x="199"/>
        <item x="73"/>
        <item x="521"/>
        <item x="78"/>
        <item x="22"/>
        <item x="285"/>
        <item x="30"/>
        <item x="239"/>
        <item x="74"/>
        <item x="494"/>
        <item x="472"/>
        <item x="407"/>
        <item x="186"/>
        <item x="53"/>
        <item x="299"/>
        <item x="129"/>
        <item x="132"/>
        <item x="266"/>
        <item x="409"/>
        <item x="387"/>
        <item x="345"/>
        <item x="438"/>
        <item x="493"/>
        <item x="511"/>
        <item x="551"/>
        <item x="189"/>
        <item x="528"/>
        <item x="552"/>
        <item x="486"/>
        <item x="194"/>
        <item x="502"/>
        <item x="453"/>
        <item x="258"/>
        <item x="221"/>
        <item x="504"/>
        <item x="34"/>
        <item x="91"/>
        <item x="310"/>
        <item x="237"/>
        <item x="525"/>
        <item x="539"/>
        <item x="69"/>
        <item x="62"/>
        <item x="18"/>
        <item x="314"/>
        <item x="546"/>
        <item x="138"/>
        <item x="357"/>
        <item x="290"/>
        <item x="384"/>
        <item x="545"/>
        <item x="360"/>
        <item x="474"/>
        <item x="193"/>
        <item x="151"/>
        <item x="115"/>
        <item x="61"/>
        <item x="520"/>
        <item x="183"/>
        <item x="368"/>
        <item x="203"/>
        <item x="104"/>
        <item x="243"/>
        <item x="80"/>
        <item x="300"/>
        <item x="304"/>
        <item x="122"/>
        <item x="55"/>
        <item x="288"/>
        <item x="527"/>
        <item x="200"/>
        <item x="181"/>
        <item x="375"/>
        <item x="191"/>
        <item x="82"/>
        <item x="444"/>
        <item x="154"/>
        <item x="149"/>
        <item x="103"/>
        <item x="142"/>
        <item x="161"/>
        <item x="105"/>
        <item x="524"/>
        <item x="321"/>
        <item x="96"/>
        <item x="410"/>
        <item x="461"/>
        <item x="323"/>
        <item x="475"/>
        <item x="352"/>
        <item x="470"/>
        <item x="440"/>
        <item x="39"/>
        <item x="379"/>
        <item x="4"/>
        <item x="110"/>
        <item x="413"/>
        <item x="490"/>
        <item x="555"/>
        <item x="547"/>
        <item x="16"/>
        <item x="21"/>
        <item x="514"/>
        <item x="31"/>
        <item x="536"/>
        <item x="26"/>
        <item x="401"/>
        <item x="125"/>
        <item x="244"/>
        <item x="394"/>
        <item x="306"/>
        <item x="124"/>
        <item x="15"/>
        <item x="58"/>
        <item x="17"/>
        <item x="24"/>
        <item x="114"/>
        <item x="329"/>
        <item x="313"/>
        <item x="462"/>
        <item x="324"/>
        <item x="141"/>
        <item x="71"/>
        <item x="11"/>
        <item x="118"/>
        <item x="512"/>
        <item x="236"/>
        <item x="386"/>
        <item x="215"/>
        <item x="225"/>
        <item x="211"/>
        <item x="340"/>
        <item x="173"/>
        <item x="485"/>
        <item x="257"/>
        <item x="255"/>
        <item x="296"/>
        <item x="434"/>
        <item x="3"/>
        <item x="315"/>
        <item x="418"/>
        <item x="515"/>
        <item x="204"/>
        <item x="293"/>
        <item x="416"/>
        <item x="8"/>
        <item x="12"/>
        <item x="229"/>
        <item x="344"/>
        <item x="165"/>
        <item x="393"/>
        <item x="273"/>
        <item x="358"/>
        <item x="97"/>
        <item x="27"/>
        <item x="534"/>
        <item x="268"/>
        <item x="388"/>
        <item x="57"/>
        <item x="330"/>
        <item x="488"/>
        <item x="482"/>
        <item x="487"/>
        <item x="421"/>
        <item x="286"/>
        <item x="128"/>
        <item x="267"/>
        <item x="498"/>
        <item x="464"/>
        <item x="143"/>
        <item x="197"/>
        <item x="272"/>
        <item x="449"/>
        <item x="113"/>
        <item x="383"/>
        <item x="250"/>
        <item x="20"/>
        <item x="341"/>
        <item x="381"/>
        <item x="402"/>
        <item x="6"/>
        <item x="480"/>
        <item x="241"/>
        <item x="278"/>
        <item x="79"/>
        <item x="499"/>
        <item x="328"/>
        <item x="481"/>
        <item x="496"/>
        <item x="98"/>
        <item x="234"/>
        <item x="107"/>
        <item x="95"/>
        <item x="81"/>
        <item x="372"/>
        <item x="400"/>
        <item x="348"/>
        <item x="159"/>
        <item x="144"/>
        <item x="309"/>
        <item x="168"/>
        <item x="190"/>
        <item x="316"/>
        <item x="429"/>
        <item x="398"/>
        <item x="169"/>
        <item x="471"/>
        <item x="60"/>
        <item x="500"/>
        <item x="332"/>
        <item x="454"/>
        <item x="50"/>
        <item x="65"/>
        <item x="135"/>
        <item x="230"/>
        <item x="38"/>
        <item x="274"/>
        <item x="456"/>
        <item x="428"/>
        <item x="127"/>
        <item x="450"/>
        <item x="406"/>
        <item x="468"/>
        <item x="171"/>
        <item x="446"/>
        <item x="549"/>
        <item x="439"/>
        <item x="359"/>
        <item x="355"/>
        <item x="133"/>
        <item x="283"/>
        <item x="353"/>
        <item x="338"/>
        <item x="458"/>
        <item x="49"/>
        <item x="436"/>
        <item x="302"/>
        <item x="90"/>
        <item x="542"/>
        <item x="208"/>
        <item x="431"/>
        <item x="46"/>
        <item x="501"/>
        <item x="166"/>
        <item x="163"/>
        <item x="52"/>
        <item x="326"/>
        <item x="425"/>
        <item x="72"/>
        <item x="201"/>
        <item x="298"/>
        <item x="45"/>
        <item x="63"/>
        <item x="544"/>
        <item x="112"/>
        <item x="214"/>
        <item x="175"/>
        <item x="391"/>
        <item x="289"/>
        <item x="467"/>
        <item x="235"/>
        <item x="469"/>
        <item x="373"/>
        <item x="506"/>
        <item x="342"/>
        <item x="339"/>
        <item x="209"/>
        <item x="42"/>
        <item x="325"/>
        <item x="0"/>
        <item x="213"/>
        <item x="170"/>
        <item x="441"/>
        <item x="351"/>
        <item x="187"/>
        <item x="489"/>
        <item x="311"/>
        <item x="371"/>
        <item x="75"/>
        <item x="443"/>
        <item x="245"/>
        <item x="531"/>
        <item x="10"/>
        <item x="291"/>
        <item x="447"/>
        <item x="380"/>
        <item x="334"/>
        <item x="262"/>
        <item x="519"/>
        <item x="364"/>
        <item x="497"/>
        <item x="94"/>
        <item x="67"/>
        <item x="130"/>
        <item x="508"/>
        <item x="433"/>
        <item x="399"/>
        <item x="205"/>
        <item x="56"/>
        <item x="420"/>
        <item x="111"/>
        <item x="121"/>
        <item x="347"/>
        <item x="219"/>
        <item x="408"/>
        <item x="530"/>
        <item x="473"/>
        <item x="40"/>
        <item x="337"/>
        <item x="403"/>
        <item x="465"/>
        <item x="251"/>
        <item x="333"/>
        <item x="83"/>
        <item x="463"/>
        <item x="430"/>
        <item x="86"/>
        <item x="263"/>
        <item x="369"/>
        <item x="363"/>
        <item x="167"/>
        <item x="158"/>
        <item x="41"/>
        <item x="419"/>
        <item x="228"/>
        <item x="376"/>
        <item x="68"/>
        <item x="477"/>
        <item x="7"/>
        <item x="77"/>
        <item x="483"/>
        <item x="460"/>
        <item x="116"/>
        <item x="137"/>
        <item x="5"/>
        <item x="25"/>
        <item x="93"/>
        <item x="117"/>
        <item x="269"/>
        <item x="492"/>
        <item x="180"/>
        <item x="222"/>
        <item x="233"/>
        <item x="435"/>
        <item x="277"/>
        <item x="29"/>
        <item x="19"/>
        <item x="198"/>
        <item x="354"/>
        <item x="248"/>
        <item x="178"/>
        <item x="249"/>
        <item x="260"/>
        <item x="550"/>
        <item x="156"/>
        <item x="218"/>
        <item x="212"/>
        <item x="247"/>
        <item x="108"/>
        <item x="216"/>
        <item x="210"/>
        <item x="271"/>
        <item x="466"/>
        <item x="184"/>
        <item x="242"/>
        <item x="254"/>
        <item x="92"/>
        <item x="432"/>
        <item x="331"/>
        <item x="179"/>
        <item x="119"/>
        <item x="507"/>
        <item x="307"/>
        <item x="318"/>
        <item x="397"/>
        <item x="196"/>
        <item x="553"/>
        <item x="66"/>
        <item x="188"/>
        <item x="54"/>
        <item x="157"/>
        <item x="517"/>
        <item x="390"/>
        <item x="101"/>
        <item x="516"/>
        <item x="297"/>
        <item x="529"/>
        <item x="294"/>
        <item x="495"/>
        <item x="404"/>
        <item x="59"/>
        <item x="414"/>
        <item x="182"/>
        <item x="160"/>
        <item x="185"/>
        <item x="207"/>
        <item x="109"/>
        <item x="356"/>
        <item x="220"/>
        <item x="505"/>
        <item x="312"/>
        <item x="385"/>
        <item x="261"/>
        <item x="445"/>
        <item x="335"/>
        <item x="238"/>
        <item x="377"/>
        <item x="155"/>
        <item x="35"/>
        <item x="227"/>
        <item x="301"/>
        <item x="88"/>
        <item x="153"/>
        <item x="48"/>
        <item x="148"/>
        <item x="533"/>
        <item x="367"/>
        <item x="136"/>
        <item x="317"/>
        <item x="246"/>
        <item x="370"/>
        <item x="2"/>
        <item x="126"/>
        <item x="240"/>
        <item x="518"/>
        <item x="51"/>
        <item x="174"/>
        <item x="282"/>
        <item x="459"/>
        <item x="85"/>
        <item x="336"/>
        <item x="478"/>
        <item x="232"/>
        <item x="535"/>
        <item x="396"/>
        <item x="217"/>
        <item x="415"/>
        <item x="412"/>
        <item x="23"/>
        <item x="176"/>
        <item x="327"/>
        <item x="395"/>
        <item x="150"/>
        <item x="543"/>
        <item x="253"/>
        <item x="538"/>
        <item x="140"/>
        <item x="554"/>
        <item x="131"/>
        <item x="422"/>
        <item x="1"/>
        <item x="451"/>
        <item x="491"/>
        <item x="146"/>
        <item x="426"/>
        <item x="374"/>
        <item x="405"/>
        <item x="70"/>
        <item x="320"/>
        <item x="120"/>
        <item x="541"/>
        <item x="343"/>
        <item x="452"/>
        <item x="43"/>
        <item x="47"/>
        <item x="172"/>
        <item x="275"/>
        <item x="99"/>
        <item x="152"/>
        <item x="139"/>
        <item x="378"/>
        <item x="87"/>
        <item x="64"/>
        <item x="526"/>
        <item x="134"/>
        <item x="147"/>
        <item x="423"/>
        <item x="102"/>
        <item x="76"/>
        <item x="13"/>
        <item x="366"/>
        <item x="195"/>
        <item x="417"/>
        <item x="264"/>
        <item x="32"/>
        <item x="192"/>
        <item x="259"/>
        <item x="532"/>
        <item x="206"/>
        <item x="305"/>
        <item x="362"/>
        <item x="448"/>
        <item x="100"/>
        <item x="226"/>
        <item x="522"/>
        <item x="252"/>
        <item x="284"/>
        <item x="303"/>
        <item x="84"/>
        <item x="503"/>
        <item x="33"/>
        <item x="28"/>
        <item x="424"/>
        <item x="44"/>
        <item x="513"/>
        <item x="123"/>
        <item x="548"/>
        <item x="523"/>
        <item x="319"/>
        <item t="default"/>
      </items>
    </pivotField>
    <pivotField numFmtId="14" showAll="0"/>
    <pivotField showAll="0"/>
    <pivotField showAll="0"/>
    <pivotField showAll="0">
      <items count="4">
        <item x="0"/>
        <item x="2"/>
        <item x="1"/>
        <item t="default"/>
      </items>
    </pivotField>
    <pivotField showAll="0"/>
    <pivotField showAll="0"/>
    <pivotField showAll="0">
      <items count="5">
        <item x="3"/>
        <item x="1"/>
        <item x="2"/>
        <item x="0"/>
        <item t="default"/>
      </items>
    </pivotField>
    <pivotField showAll="0">
      <items count="4">
        <item x="1"/>
        <item x="2"/>
        <item x="0"/>
        <item t="default"/>
      </items>
    </pivotField>
    <pivotField showAll="0"/>
    <pivotField axis="axisRow" showAll="0" measureFilter="1">
      <items count="958">
        <item x="493"/>
        <item x="402"/>
        <item x="267"/>
        <item x="209"/>
        <item x="422"/>
        <item x="654"/>
        <item x="468"/>
        <item x="795"/>
        <item x="530"/>
        <item x="668"/>
        <item x="932"/>
        <item x="775"/>
        <item x="54"/>
        <item x="381"/>
        <item x="955"/>
        <item x="170"/>
        <item x="919"/>
        <item x="332"/>
        <item x="744"/>
        <item x="303"/>
        <item x="62"/>
        <item x="442"/>
        <item x="828"/>
        <item x="755"/>
        <item x="417"/>
        <item x="541"/>
        <item x="544"/>
        <item x="622"/>
        <item x="184"/>
        <item x="322"/>
        <item x="542"/>
        <item x="767"/>
        <item x="31"/>
        <item x="749"/>
        <item x="487"/>
        <item x="614"/>
        <item x="520"/>
        <item x="837"/>
        <item x="857"/>
        <item x="5"/>
        <item x="913"/>
        <item x="686"/>
        <item x="125"/>
        <item x="133"/>
        <item x="188"/>
        <item x="682"/>
        <item x="793"/>
        <item x="183"/>
        <item x="910"/>
        <item x="890"/>
        <item x="263"/>
        <item x="330"/>
        <item x="851"/>
        <item x="444"/>
        <item x="57"/>
        <item x="766"/>
        <item x="526"/>
        <item x="664"/>
        <item x="610"/>
        <item x="447"/>
        <item x="949"/>
        <item x="814"/>
        <item x="700"/>
        <item x="346"/>
        <item x="110"/>
        <item x="35"/>
        <item x="386"/>
        <item x="591"/>
        <item x="871"/>
        <item x="7"/>
        <item x="757"/>
        <item x="448"/>
        <item x="648"/>
        <item x="351"/>
        <item x="203"/>
        <item x="787"/>
        <item x="723"/>
        <item x="770"/>
        <item x="718"/>
        <item x="880"/>
        <item x="150"/>
        <item x="105"/>
        <item x="39"/>
        <item x="724"/>
        <item x="469"/>
        <item x="258"/>
        <item x="522"/>
        <item x="1"/>
        <item x="635"/>
        <item x="478"/>
        <item x="51"/>
        <item x="697"/>
        <item x="88"/>
        <item x="155"/>
        <item x="294"/>
        <item x="676"/>
        <item x="715"/>
        <item x="480"/>
        <item x="685"/>
        <item x="354"/>
        <item x="119"/>
        <item x="950"/>
        <item x="15"/>
        <item x="47"/>
        <item x="519"/>
        <item x="704"/>
        <item x="198"/>
        <item x="194"/>
        <item x="763"/>
        <item x="139"/>
        <item x="596"/>
        <item x="817"/>
        <item x="121"/>
        <item x="575"/>
        <item x="165"/>
        <item x="543"/>
        <item x="201"/>
        <item x="665"/>
        <item x="711"/>
        <item x="287"/>
        <item x="302"/>
        <item x="204"/>
        <item x="862"/>
        <item x="230"/>
        <item x="674"/>
        <item x="532"/>
        <item x="23"/>
        <item x="548"/>
        <item x="639"/>
        <item x="361"/>
        <item x="350"/>
        <item x="222"/>
        <item x="796"/>
        <item x="407"/>
        <item x="87"/>
        <item x="405"/>
        <item x="528"/>
        <item x="855"/>
        <item x="912"/>
        <item x="101"/>
        <item x="168"/>
        <item x="761"/>
        <item x="601"/>
        <item x="341"/>
        <item x="257"/>
        <item x="192"/>
        <item x="954"/>
        <item x="773"/>
        <item x="841"/>
        <item x="914"/>
        <item x="641"/>
        <item x="916"/>
        <item x="638"/>
        <item x="619"/>
        <item x="600"/>
        <item x="348"/>
        <item x="404"/>
        <item x="255"/>
        <item x="295"/>
        <item x="377"/>
        <item x="611"/>
        <item x="27"/>
        <item x="327"/>
        <item x="495"/>
        <item x="337"/>
        <item x="843"/>
        <item x="387"/>
        <item x="175"/>
        <item x="687"/>
        <item x="191"/>
        <item x="483"/>
        <item x="608"/>
        <item x="709"/>
        <item x="929"/>
        <item x="10"/>
        <item x="266"/>
        <item x="74"/>
        <item x="479"/>
        <item x="166"/>
        <item x="152"/>
        <item x="513"/>
        <item x="511"/>
        <item x="91"/>
        <item x="25"/>
        <item x="680"/>
        <item x="915"/>
        <item x="613"/>
        <item x="499"/>
        <item x="4"/>
        <item x="300"/>
        <item x="762"/>
        <item x="498"/>
        <item x="466"/>
        <item x="279"/>
        <item x="18"/>
        <item x="67"/>
        <item x="633"/>
        <item x="193"/>
        <item x="670"/>
        <item x="626"/>
        <item x="214"/>
        <item x="645"/>
        <item x="603"/>
        <item x="298"/>
        <item x="627"/>
        <item x="474"/>
        <item x="930"/>
        <item x="154"/>
        <item x="216"/>
        <item x="758"/>
        <item x="116"/>
        <item x="382"/>
        <item x="299"/>
        <item x="649"/>
        <item x="517"/>
        <item x="688"/>
        <item x="219"/>
        <item x="856"/>
        <item x="707"/>
        <item x="791"/>
        <item x="3"/>
        <item x="899"/>
        <item x="898"/>
        <item x="271"/>
        <item x="835"/>
        <item x="634"/>
        <item x="803"/>
        <item x="931"/>
        <item x="180"/>
        <item x="189"/>
        <item x="486"/>
        <item x="473"/>
        <item x="24"/>
        <item x="845"/>
        <item x="788"/>
        <item x="306"/>
        <item x="436"/>
        <item x="138"/>
        <item x="785"/>
        <item x="523"/>
        <item x="437"/>
        <item x="870"/>
        <item x="570"/>
        <item x="229"/>
        <item x="237"/>
        <item x="934"/>
        <item x="764"/>
        <item x="671"/>
        <item x="277"/>
        <item x="868"/>
        <item x="164"/>
        <item x="510"/>
        <item x="888"/>
        <item x="77"/>
        <item x="893"/>
        <item x="265"/>
        <item x="146"/>
        <item x="625"/>
        <item x="573"/>
        <item x="590"/>
        <item x="309"/>
        <item x="149"/>
        <item x="49"/>
        <item x="141"/>
        <item x="595"/>
        <item x="465"/>
        <item x="315"/>
        <item x="945"/>
        <item x="725"/>
        <item x="524"/>
        <item x="313"/>
        <item x="834"/>
        <item x="273"/>
        <item x="240"/>
        <item x="84"/>
        <item x="416"/>
        <item x="866"/>
        <item x="102"/>
        <item x="925"/>
        <item x="678"/>
        <item x="281"/>
        <item x="729"/>
        <item x="496"/>
        <item x="710"/>
        <item x="896"/>
        <item x="863"/>
        <item x="536"/>
        <item x="547"/>
        <item x="693"/>
        <item x="599"/>
        <item x="874"/>
        <item x="334"/>
        <item x="393"/>
        <item x="778"/>
        <item x="343"/>
        <item x="808"/>
        <item x="728"/>
        <item x="574"/>
        <item x="644"/>
        <item x="784"/>
        <item x="539"/>
        <item x="286"/>
        <item x="426"/>
        <item x="618"/>
        <item x="873"/>
        <item x="412"/>
        <item x="59"/>
        <item x="647"/>
        <item x="721"/>
        <item x="72"/>
        <item x="553"/>
        <item x="236"/>
        <item x="703"/>
        <item x="458"/>
        <item x="623"/>
        <item x="261"/>
        <item x="202"/>
        <item x="836"/>
        <item x="283"/>
        <item x="425"/>
        <item x="200"/>
        <item x="527"/>
        <item x="650"/>
        <item x="196"/>
        <item x="355"/>
        <item x="70"/>
        <item x="12"/>
        <item x="272"/>
        <item x="565"/>
        <item x="153"/>
        <item x="800"/>
        <item x="621"/>
        <item x="794"/>
        <item x="717"/>
        <item x="827"/>
        <item x="71"/>
        <item x="917"/>
        <item x="643"/>
        <item x="396"/>
        <item x="459"/>
        <item x="21"/>
        <item x="658"/>
        <item x="792"/>
        <item x="424"/>
        <item x="503"/>
        <item x="358"/>
        <item x="816"/>
        <item x="920"/>
        <item x="6"/>
        <item x="797"/>
        <item x="221"/>
        <item x="760"/>
        <item x="410"/>
        <item x="902"/>
        <item x="497"/>
        <item x="696"/>
        <item x="576"/>
        <item x="698"/>
        <item x="316"/>
        <item x="33"/>
        <item x="270"/>
        <item x="390"/>
        <item x="187"/>
        <item x="403"/>
        <item x="666"/>
        <item x="743"/>
        <item x="451"/>
        <item x="179"/>
        <item x="208"/>
        <item x="751"/>
        <item x="42"/>
        <item x="826"/>
        <item x="38"/>
        <item x="572"/>
        <item x="455"/>
        <item x="212"/>
        <item x="314"/>
        <item x="508"/>
        <item x="589"/>
        <item x="245"/>
        <item x="557"/>
        <item x="365"/>
        <item x="320"/>
        <item x="695"/>
        <item x="95"/>
        <item x="702"/>
        <item x="587"/>
        <item x="727"/>
        <item x="891"/>
        <item x="53"/>
        <item x="385"/>
        <item x="463"/>
        <item x="509"/>
        <item x="829"/>
        <item x="861"/>
        <item x="213"/>
        <item x="288"/>
        <item x="206"/>
        <item x="328"/>
        <item x="609"/>
        <item x="375"/>
        <item x="624"/>
        <item x="819"/>
        <item x="472"/>
        <item x="494"/>
        <item x="311"/>
        <item x="956"/>
        <item x="321"/>
        <item x="131"/>
        <item x="540"/>
        <item x="167"/>
        <item x="802"/>
        <item x="637"/>
        <item x="605"/>
        <item x="398"/>
        <item x="293"/>
        <item x="301"/>
        <item x="307"/>
        <item x="411"/>
        <item x="190"/>
        <item x="400"/>
        <item x="504"/>
        <item x="268"/>
        <item x="552"/>
        <item x="842"/>
        <item x="636"/>
        <item x="918"/>
        <item x="117"/>
        <item x="262"/>
        <item x="488"/>
        <item x="389"/>
        <item x="672"/>
        <item x="948"/>
        <item x="372"/>
        <item x="922"/>
        <item x="783"/>
        <item x="429"/>
        <item x="453"/>
        <item x="566"/>
        <item x="889"/>
        <item x="449"/>
        <item x="597"/>
        <item x="663"/>
        <item x="217"/>
        <item x="847"/>
        <item x="147"/>
        <item x="883"/>
        <item x="878"/>
        <item x="818"/>
        <item x="782"/>
        <item x="568"/>
        <item x="937"/>
        <item x="736"/>
        <item x="135"/>
        <item x="583"/>
        <item x="577"/>
        <item x="722"/>
        <item x="907"/>
        <item x="833"/>
        <item x="477"/>
        <item x="427"/>
        <item x="373"/>
        <item x="921"/>
        <item x="107"/>
        <item x="128"/>
        <item x="98"/>
        <item x="895"/>
        <item x="840"/>
        <item x="642"/>
        <item x="885"/>
        <item x="731"/>
        <item x="73"/>
        <item x="876"/>
        <item x="428"/>
        <item x="115"/>
        <item x="340"/>
        <item x="44"/>
        <item x="392"/>
        <item x="789"/>
        <item x="233"/>
        <item x="182"/>
        <item x="434"/>
        <item x="712"/>
        <item x="441"/>
        <item x="79"/>
        <item x="892"/>
        <item x="549"/>
        <item x="559"/>
        <item x="806"/>
        <item x="185"/>
        <item x="239"/>
        <item x="353"/>
        <item x="571"/>
        <item x="953"/>
        <item x="652"/>
        <item x="13"/>
        <item x="679"/>
        <item x="560"/>
        <item x="395"/>
        <item x="887"/>
        <item x="491"/>
        <item x="489"/>
        <item x="17"/>
        <item x="551"/>
        <item x="325"/>
        <item x="662"/>
        <item x="86"/>
        <item x="227"/>
        <item x="593"/>
        <item x="567"/>
        <item x="30"/>
        <item x="61"/>
        <item x="359"/>
        <item x="64"/>
        <item x="933"/>
        <item x="276"/>
        <item x="163"/>
        <item x="109"/>
        <item x="667"/>
        <item x="312"/>
        <item x="423"/>
        <item x="820"/>
        <item x="935"/>
        <item x="854"/>
        <item x="562"/>
        <item x="157"/>
        <item x="897"/>
        <item x="419"/>
        <item x="482"/>
        <item x="585"/>
        <item x="56"/>
        <item x="825"/>
        <item x="418"/>
        <item x="8"/>
        <item x="805"/>
        <item x="746"/>
        <item x="16"/>
        <item x="156"/>
        <item x="368"/>
        <item x="669"/>
        <item x="655"/>
        <item x="923"/>
        <item x="656"/>
        <item x="318"/>
        <item x="226"/>
        <item x="82"/>
        <item x="80"/>
        <item x="580"/>
        <item x="660"/>
        <item x="127"/>
        <item x="132"/>
        <item x="378"/>
        <item x="215"/>
        <item x="646"/>
        <item x="852"/>
        <item x="518"/>
        <item x="867"/>
        <item x="733"/>
        <item x="55"/>
        <item x="807"/>
        <item x="507"/>
        <item x="737"/>
        <item x="253"/>
        <item x="653"/>
        <item x="362"/>
        <item x="137"/>
        <item x="564"/>
        <item x="938"/>
        <item x="901"/>
        <item x="538"/>
        <item x="586"/>
        <item x="275"/>
        <item x="756"/>
        <item x="903"/>
        <item x="859"/>
        <item x="726"/>
        <item x="159"/>
        <item x="849"/>
        <item x="172"/>
        <item x="719"/>
        <item x="344"/>
        <item x="531"/>
        <item x="282"/>
        <item x="369"/>
        <item x="821"/>
        <item x="356"/>
        <item x="161"/>
        <item x="228"/>
        <item x="460"/>
        <item x="612"/>
        <item x="738"/>
        <item x="582"/>
        <item x="877"/>
        <item x="331"/>
        <item x="594"/>
        <item x="94"/>
        <item x="399"/>
        <item x="506"/>
        <item x="290"/>
        <item x="741"/>
        <item x="234"/>
        <item x="928"/>
        <item x="99"/>
        <item x="742"/>
        <item x="947"/>
        <item x="706"/>
        <item x="60"/>
        <item x="317"/>
        <item x="211"/>
        <item x="235"/>
        <item x="238"/>
        <item x="750"/>
        <item x="481"/>
        <item x="181"/>
        <item x="76"/>
        <item x="714"/>
        <item x="872"/>
        <item x="220"/>
        <item x="241"/>
        <item x="813"/>
        <item x="336"/>
        <item x="40"/>
        <item x="259"/>
        <item x="740"/>
        <item x="853"/>
        <item x="651"/>
        <item x="384"/>
        <item x="333"/>
        <item x="360"/>
        <item x="285"/>
        <item x="606"/>
        <item x="199"/>
        <item x="578"/>
        <item x="940"/>
        <item x="579"/>
        <item x="620"/>
        <item x="162"/>
        <item x="720"/>
        <item x="689"/>
        <item x="846"/>
        <item x="111"/>
        <item x="11"/>
        <item x="831"/>
        <item x="439"/>
        <item x="780"/>
        <item x="112"/>
        <item x="545"/>
        <item x="946"/>
        <item x="675"/>
        <item x="66"/>
        <item x="732"/>
        <item x="148"/>
        <item x="673"/>
        <item x="616"/>
        <item x="951"/>
        <item x="122"/>
        <item x="186"/>
        <item x="690"/>
        <item x="515"/>
        <item x="363"/>
        <item x="284"/>
        <item x="401"/>
        <item x="280"/>
        <item x="516"/>
        <item x="414"/>
        <item x="103"/>
        <item x="798"/>
        <item x="347"/>
        <item x="563"/>
        <item x="14"/>
        <item x="254"/>
        <item x="446"/>
        <item x="435"/>
        <item x="225"/>
        <item x="58"/>
        <item x="249"/>
        <item x="36"/>
        <item x="754"/>
        <item x="46"/>
        <item x="388"/>
        <item x="126"/>
        <item x="242"/>
        <item x="9"/>
        <item x="588"/>
        <item x="745"/>
        <item x="708"/>
        <item x="822"/>
        <item x="433"/>
        <item x="34"/>
        <item x="810"/>
        <item x="0"/>
        <item x="529"/>
        <item x="628"/>
        <item x="569"/>
        <item x="939"/>
        <item x="431"/>
        <item x="475"/>
        <item x="160"/>
        <item x="677"/>
        <item x="408"/>
        <item x="22"/>
        <item x="143"/>
        <item x="339"/>
        <item x="771"/>
        <item x="250"/>
        <item x="367"/>
        <item x="123"/>
        <item x="274"/>
        <item x="81"/>
        <item x="942"/>
        <item x="904"/>
        <item x="374"/>
        <item x="926"/>
        <item x="839"/>
        <item x="512"/>
        <item x="772"/>
        <item x="801"/>
        <item x="432"/>
        <item x="875"/>
        <item x="151"/>
        <item x="882"/>
        <item x="409"/>
        <item x="136"/>
        <item x="632"/>
        <item x="514"/>
        <item x="89"/>
        <item x="525"/>
        <item x="37"/>
        <item x="345"/>
        <item x="691"/>
        <item x="661"/>
        <item x="537"/>
        <item x="247"/>
        <item x="291"/>
        <item x="713"/>
        <item x="556"/>
        <item x="252"/>
        <item x="324"/>
        <item x="195"/>
        <item x="50"/>
        <item x="860"/>
        <item x="379"/>
        <item x="224"/>
        <item x="371"/>
        <item x="535"/>
        <item x="739"/>
        <item x="534"/>
        <item x="114"/>
        <item x="657"/>
        <item x="43"/>
        <item x="830"/>
        <item x="140"/>
        <item x="804"/>
        <item x="485"/>
        <item x="786"/>
        <item x="413"/>
        <item x="779"/>
        <item x="174"/>
        <item x="943"/>
        <item x="467"/>
        <item x="461"/>
        <item x="464"/>
        <item x="450"/>
        <item x="521"/>
        <item x="96"/>
        <item x="251"/>
        <item x="269"/>
        <item x="908"/>
        <item x="26"/>
        <item x="108"/>
        <item x="289"/>
        <item x="747"/>
        <item x="492"/>
        <item x="2"/>
        <item x="476"/>
        <item x="774"/>
        <item x="886"/>
        <item x="470"/>
        <item x="205"/>
        <item x="900"/>
        <item x="850"/>
        <item x="735"/>
        <item x="176"/>
        <item x="869"/>
        <item x="699"/>
        <item x="158"/>
        <item x="629"/>
        <item x="52"/>
        <item x="78"/>
        <item x="68"/>
        <item x="248"/>
        <item x="630"/>
        <item x="134"/>
        <item x="555"/>
        <item x="799"/>
        <item x="858"/>
        <item x="501"/>
        <item x="490"/>
        <item x="308"/>
        <item x="909"/>
        <item x="838"/>
        <item x="844"/>
        <item x="554"/>
        <item x="296"/>
        <item x="231"/>
        <item x="104"/>
        <item x="145"/>
        <item x="457"/>
        <item x="32"/>
        <item x="232"/>
        <item x="75"/>
        <item x="879"/>
        <item x="65"/>
        <item x="781"/>
        <item x="394"/>
        <item x="264"/>
        <item x="364"/>
        <item x="811"/>
        <item x="129"/>
        <item x="824"/>
        <item x="581"/>
        <item x="45"/>
        <item x="106"/>
        <item x="292"/>
        <item x="29"/>
        <item x="777"/>
        <item x="906"/>
        <item x="243"/>
        <item x="118"/>
        <item x="370"/>
        <item x="505"/>
        <item x="383"/>
        <item x="550"/>
        <item x="93"/>
        <item x="500"/>
        <item x="85"/>
        <item x="484"/>
        <item x="100"/>
        <item x="357"/>
        <item x="440"/>
        <item x="456"/>
        <item x="113"/>
        <item x="83"/>
        <item x="832"/>
        <item x="90"/>
        <item x="944"/>
        <item x="692"/>
        <item x="297"/>
        <item x="602"/>
        <item x="502"/>
        <item x="420"/>
        <item x="92"/>
        <item x="884"/>
        <item x="207"/>
        <item x="397"/>
        <item x="63"/>
        <item x="924"/>
        <item x="142"/>
        <item x="218"/>
        <item x="941"/>
        <item x="443"/>
        <item x="952"/>
        <item x="391"/>
        <item x="144"/>
        <item x="69"/>
        <item x="28"/>
        <item x="173"/>
        <item x="452"/>
        <item x="809"/>
        <item x="278"/>
        <item x="911"/>
        <item x="730"/>
        <item x="178"/>
        <item x="223"/>
        <item x="380"/>
        <item x="41"/>
        <item x="705"/>
        <item x="716"/>
        <item x="20"/>
        <item x="326"/>
        <item x="776"/>
        <item x="592"/>
        <item x="329"/>
        <item x="246"/>
        <item x="584"/>
        <item x="210"/>
        <item x="130"/>
        <item x="352"/>
        <item x="765"/>
        <item x="752"/>
        <item x="561"/>
        <item x="865"/>
        <item x="753"/>
        <item x="349"/>
        <item x="659"/>
        <item x="812"/>
        <item x="304"/>
        <item x="256"/>
        <item x="848"/>
        <item x="617"/>
        <item x="546"/>
        <item x="769"/>
        <item x="120"/>
        <item x="748"/>
        <item x="759"/>
        <item x="558"/>
        <item x="462"/>
        <item x="864"/>
        <item x="305"/>
        <item x="815"/>
        <item x="97"/>
        <item x="471"/>
        <item x="19"/>
        <item x="342"/>
        <item x="366"/>
        <item x="310"/>
        <item x="701"/>
        <item x="894"/>
        <item x="244"/>
        <item x="376"/>
        <item x="338"/>
        <item x="319"/>
        <item x="905"/>
        <item x="823"/>
        <item x="169"/>
        <item x="124"/>
        <item x="936"/>
        <item x="445"/>
        <item x="406"/>
        <item x="48"/>
        <item x="177"/>
        <item x="881"/>
        <item x="260"/>
        <item x="438"/>
        <item x="171"/>
        <item x="681"/>
        <item x="927"/>
        <item x="335"/>
        <item x="197"/>
        <item x="734"/>
        <item x="694"/>
        <item x="790"/>
        <item x="607"/>
        <item x="631"/>
        <item x="415"/>
        <item x="421"/>
        <item x="454"/>
        <item x="684"/>
        <item x="768"/>
        <item x="615"/>
        <item x="323"/>
        <item x="430"/>
        <item x="640"/>
        <item x="604"/>
        <item x="598"/>
        <item x="683"/>
        <item x="533"/>
        <item t="default"/>
      </items>
    </pivotField>
    <pivotField dataField="1" numFmtId="164" showAll="0"/>
    <pivotField showAll="0"/>
    <pivotField numFmtId="9" showAll="0"/>
    <pivotField numFmtId="164" showAll="0"/>
    <pivotField showAll="0">
      <items count="9">
        <item x="5"/>
        <item x="6"/>
        <item x="0"/>
        <item x="7"/>
        <item x="1"/>
        <item x="3"/>
        <item x="4"/>
        <item x="2"/>
        <item t="default"/>
      </items>
    </pivotField>
    <pivotField showAll="0">
      <items count="5">
        <item x="3"/>
        <item x="0"/>
        <item x="1"/>
        <item x="2"/>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1"/>
  </rowFields>
  <rowItems count="11">
    <i>
      <x v="123"/>
    </i>
    <i>
      <x v="270"/>
    </i>
    <i>
      <x v="273"/>
    </i>
    <i>
      <x v="300"/>
    </i>
    <i>
      <x v="322"/>
    </i>
    <i>
      <x v="354"/>
    </i>
    <i>
      <x v="364"/>
    </i>
    <i>
      <x v="532"/>
    </i>
    <i>
      <x v="736"/>
    </i>
    <i>
      <x v="906"/>
    </i>
    <i t="grand">
      <x/>
    </i>
  </rowItems>
  <colItems count="1">
    <i/>
  </colItems>
  <dataFields count="1">
    <dataField name="Sum of Sales" fld="12" baseField="0" baseItem="0" numFmtId="164"/>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79FB9E-23B8-40C8-BB17-3A58B69682C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20">
    <pivotField dataField="1" showAll="0"/>
    <pivotField numFmtId="14" showAll="0">
      <items count="557">
        <item x="427"/>
        <item x="9"/>
        <item x="308"/>
        <item x="270"/>
        <item x="392"/>
        <item x="389"/>
        <item x="350"/>
        <item x="437"/>
        <item x="177"/>
        <item x="476"/>
        <item x="292"/>
        <item x="256"/>
        <item x="346"/>
        <item x="231"/>
        <item x="322"/>
        <item x="14"/>
        <item x="349"/>
        <item x="37"/>
        <item x="457"/>
        <item x="279"/>
        <item x="36"/>
        <item x="442"/>
        <item x="287"/>
        <item x="223"/>
        <item x="365"/>
        <item x="537"/>
        <item x="224"/>
        <item x="455"/>
        <item x="281"/>
        <item x="382"/>
        <item x="280"/>
        <item x="295"/>
        <item x="411"/>
        <item x="484"/>
        <item x="276"/>
        <item x="265"/>
        <item x="540"/>
        <item x="361"/>
        <item x="202"/>
        <item x="106"/>
        <item x="162"/>
        <item x="510"/>
        <item x="145"/>
        <item x="509"/>
        <item x="479"/>
        <item x="89"/>
        <item x="164"/>
        <item x="199"/>
        <item x="73"/>
        <item x="521"/>
        <item x="78"/>
        <item x="22"/>
        <item x="285"/>
        <item x="30"/>
        <item x="239"/>
        <item x="74"/>
        <item x="494"/>
        <item x="472"/>
        <item x="407"/>
        <item x="186"/>
        <item x="53"/>
        <item x="299"/>
        <item x="129"/>
        <item x="132"/>
        <item x="266"/>
        <item x="409"/>
        <item x="387"/>
        <item x="345"/>
        <item x="438"/>
        <item x="493"/>
        <item x="511"/>
        <item x="551"/>
        <item x="189"/>
        <item x="528"/>
        <item x="552"/>
        <item x="486"/>
        <item x="194"/>
        <item x="502"/>
        <item x="453"/>
        <item x="258"/>
        <item x="221"/>
        <item x="504"/>
        <item x="34"/>
        <item x="91"/>
        <item x="310"/>
        <item x="237"/>
        <item x="525"/>
        <item x="539"/>
        <item x="69"/>
        <item x="62"/>
        <item x="18"/>
        <item x="314"/>
        <item x="546"/>
        <item x="138"/>
        <item x="357"/>
        <item x="290"/>
        <item x="384"/>
        <item x="545"/>
        <item x="360"/>
        <item x="474"/>
        <item x="193"/>
        <item x="151"/>
        <item x="115"/>
        <item x="61"/>
        <item x="520"/>
        <item x="183"/>
        <item x="368"/>
        <item x="203"/>
        <item x="104"/>
        <item x="243"/>
        <item x="80"/>
        <item x="300"/>
        <item x="304"/>
        <item x="122"/>
        <item x="55"/>
        <item x="288"/>
        <item x="527"/>
        <item x="200"/>
        <item x="181"/>
        <item x="375"/>
        <item x="191"/>
        <item x="82"/>
        <item x="444"/>
        <item x="154"/>
        <item x="149"/>
        <item x="103"/>
        <item x="142"/>
        <item x="161"/>
        <item x="105"/>
        <item x="524"/>
        <item x="321"/>
        <item x="96"/>
        <item x="410"/>
        <item x="461"/>
        <item x="323"/>
        <item x="475"/>
        <item x="352"/>
        <item x="470"/>
        <item x="440"/>
        <item x="39"/>
        <item x="379"/>
        <item x="4"/>
        <item x="110"/>
        <item x="413"/>
        <item x="490"/>
        <item x="555"/>
        <item x="547"/>
        <item x="16"/>
        <item x="21"/>
        <item x="514"/>
        <item x="31"/>
        <item x="536"/>
        <item x="26"/>
        <item x="401"/>
        <item x="125"/>
        <item x="244"/>
        <item x="394"/>
        <item x="306"/>
        <item x="124"/>
        <item x="15"/>
        <item x="58"/>
        <item x="17"/>
        <item x="24"/>
        <item x="114"/>
        <item x="329"/>
        <item x="313"/>
        <item x="462"/>
        <item x="324"/>
        <item x="141"/>
        <item x="71"/>
        <item x="11"/>
        <item x="118"/>
        <item x="512"/>
        <item x="236"/>
        <item x="386"/>
        <item x="215"/>
        <item x="225"/>
        <item x="211"/>
        <item x="340"/>
        <item x="173"/>
        <item x="485"/>
        <item x="257"/>
        <item x="255"/>
        <item x="296"/>
        <item x="434"/>
        <item x="3"/>
        <item x="315"/>
        <item x="418"/>
        <item x="515"/>
        <item x="204"/>
        <item x="293"/>
        <item x="416"/>
        <item x="8"/>
        <item x="12"/>
        <item x="229"/>
        <item x="344"/>
        <item x="165"/>
        <item x="393"/>
        <item x="273"/>
        <item x="358"/>
        <item x="97"/>
        <item x="27"/>
        <item x="534"/>
        <item x="268"/>
        <item x="388"/>
        <item x="57"/>
        <item x="330"/>
        <item x="488"/>
        <item x="482"/>
        <item x="487"/>
        <item x="421"/>
        <item x="286"/>
        <item x="128"/>
        <item x="267"/>
        <item x="498"/>
        <item x="464"/>
        <item x="143"/>
        <item x="197"/>
        <item x="272"/>
        <item x="449"/>
        <item x="113"/>
        <item x="383"/>
        <item x="250"/>
        <item x="20"/>
        <item x="341"/>
        <item x="381"/>
        <item x="402"/>
        <item x="6"/>
        <item x="480"/>
        <item x="241"/>
        <item x="278"/>
        <item x="79"/>
        <item x="499"/>
        <item x="328"/>
        <item x="481"/>
        <item x="496"/>
        <item x="98"/>
        <item x="234"/>
        <item x="107"/>
        <item x="95"/>
        <item x="81"/>
        <item x="372"/>
        <item x="400"/>
        <item x="348"/>
        <item x="159"/>
        <item x="144"/>
        <item x="309"/>
        <item x="168"/>
        <item x="190"/>
        <item x="316"/>
        <item x="429"/>
        <item x="398"/>
        <item x="169"/>
        <item x="471"/>
        <item x="60"/>
        <item x="500"/>
        <item x="332"/>
        <item x="454"/>
        <item x="50"/>
        <item x="65"/>
        <item x="135"/>
        <item x="230"/>
        <item x="38"/>
        <item x="274"/>
        <item x="456"/>
        <item x="428"/>
        <item x="127"/>
        <item x="450"/>
        <item x="406"/>
        <item x="468"/>
        <item x="171"/>
        <item x="446"/>
        <item x="549"/>
        <item x="439"/>
        <item x="359"/>
        <item x="355"/>
        <item x="133"/>
        <item x="283"/>
        <item x="353"/>
        <item x="338"/>
        <item x="458"/>
        <item x="49"/>
        <item x="436"/>
        <item x="302"/>
        <item x="90"/>
        <item x="542"/>
        <item x="208"/>
        <item x="431"/>
        <item x="46"/>
        <item x="501"/>
        <item x="166"/>
        <item x="163"/>
        <item x="52"/>
        <item x="326"/>
        <item x="425"/>
        <item x="72"/>
        <item x="201"/>
        <item x="298"/>
        <item x="45"/>
        <item x="63"/>
        <item x="544"/>
        <item x="112"/>
        <item x="214"/>
        <item x="175"/>
        <item x="391"/>
        <item x="289"/>
        <item x="467"/>
        <item x="235"/>
        <item x="469"/>
        <item x="373"/>
        <item x="506"/>
        <item x="342"/>
        <item x="339"/>
        <item x="209"/>
        <item x="42"/>
        <item x="325"/>
        <item x="0"/>
        <item x="213"/>
        <item x="170"/>
        <item x="441"/>
        <item x="351"/>
        <item x="187"/>
        <item x="489"/>
        <item x="311"/>
        <item x="371"/>
        <item x="75"/>
        <item x="443"/>
        <item x="245"/>
        <item x="531"/>
        <item x="10"/>
        <item x="291"/>
        <item x="447"/>
        <item x="380"/>
        <item x="334"/>
        <item x="262"/>
        <item x="519"/>
        <item x="364"/>
        <item x="497"/>
        <item x="94"/>
        <item x="67"/>
        <item x="130"/>
        <item x="508"/>
        <item x="433"/>
        <item x="399"/>
        <item x="205"/>
        <item x="56"/>
        <item x="420"/>
        <item x="111"/>
        <item x="121"/>
        <item x="347"/>
        <item x="219"/>
        <item x="408"/>
        <item x="530"/>
        <item x="473"/>
        <item x="40"/>
        <item x="337"/>
        <item x="403"/>
        <item x="465"/>
        <item x="251"/>
        <item x="333"/>
        <item x="83"/>
        <item x="463"/>
        <item x="430"/>
        <item x="86"/>
        <item x="263"/>
        <item x="369"/>
        <item x="363"/>
        <item x="167"/>
        <item x="158"/>
        <item x="41"/>
        <item x="419"/>
        <item x="228"/>
        <item x="376"/>
        <item x="68"/>
        <item x="477"/>
        <item x="7"/>
        <item x="77"/>
        <item x="483"/>
        <item x="460"/>
        <item x="116"/>
        <item x="137"/>
        <item x="5"/>
        <item x="25"/>
        <item x="93"/>
        <item x="117"/>
        <item x="269"/>
        <item x="492"/>
        <item x="180"/>
        <item x="222"/>
        <item x="233"/>
        <item x="435"/>
        <item x="277"/>
        <item x="29"/>
        <item x="19"/>
        <item x="198"/>
        <item x="354"/>
        <item x="248"/>
        <item x="178"/>
        <item x="249"/>
        <item x="260"/>
        <item x="550"/>
        <item x="156"/>
        <item x="218"/>
        <item x="212"/>
        <item x="247"/>
        <item x="108"/>
        <item x="216"/>
        <item x="210"/>
        <item x="271"/>
        <item x="466"/>
        <item x="184"/>
        <item x="242"/>
        <item x="254"/>
        <item x="92"/>
        <item x="432"/>
        <item x="331"/>
        <item x="179"/>
        <item x="119"/>
        <item x="507"/>
        <item x="307"/>
        <item x="318"/>
        <item x="397"/>
        <item x="196"/>
        <item x="553"/>
        <item x="66"/>
        <item x="188"/>
        <item x="54"/>
        <item x="157"/>
        <item x="517"/>
        <item x="390"/>
        <item x="101"/>
        <item x="516"/>
        <item x="297"/>
        <item x="529"/>
        <item x="294"/>
        <item x="495"/>
        <item x="404"/>
        <item x="59"/>
        <item x="414"/>
        <item x="182"/>
        <item x="160"/>
        <item x="185"/>
        <item x="207"/>
        <item x="109"/>
        <item x="356"/>
        <item x="220"/>
        <item x="505"/>
        <item x="312"/>
        <item x="385"/>
        <item x="261"/>
        <item x="445"/>
        <item x="335"/>
        <item x="238"/>
        <item x="377"/>
        <item x="155"/>
        <item x="35"/>
        <item x="227"/>
        <item x="301"/>
        <item x="88"/>
        <item x="153"/>
        <item x="48"/>
        <item x="148"/>
        <item x="533"/>
        <item x="367"/>
        <item x="136"/>
        <item x="317"/>
        <item x="246"/>
        <item x="370"/>
        <item x="2"/>
        <item x="126"/>
        <item x="240"/>
        <item x="518"/>
        <item x="51"/>
        <item x="174"/>
        <item x="282"/>
        <item x="459"/>
        <item x="85"/>
        <item x="336"/>
        <item x="478"/>
        <item x="232"/>
        <item x="535"/>
        <item x="396"/>
        <item x="217"/>
        <item x="415"/>
        <item x="412"/>
        <item x="23"/>
        <item x="176"/>
        <item x="327"/>
        <item x="395"/>
        <item x="150"/>
        <item x="543"/>
        <item x="253"/>
        <item x="538"/>
        <item x="140"/>
        <item x="554"/>
        <item x="131"/>
        <item x="422"/>
        <item x="1"/>
        <item x="451"/>
        <item x="491"/>
        <item x="146"/>
        <item x="426"/>
        <item x="374"/>
        <item x="405"/>
        <item x="70"/>
        <item x="320"/>
        <item x="120"/>
        <item x="541"/>
        <item x="343"/>
        <item x="452"/>
        <item x="43"/>
        <item x="47"/>
        <item x="172"/>
        <item x="275"/>
        <item x="99"/>
        <item x="152"/>
        <item x="139"/>
        <item x="378"/>
        <item x="87"/>
        <item x="64"/>
        <item x="526"/>
        <item x="134"/>
        <item x="147"/>
        <item x="423"/>
        <item x="102"/>
        <item x="76"/>
        <item x="13"/>
        <item x="366"/>
        <item x="195"/>
        <item x="417"/>
        <item x="264"/>
        <item x="32"/>
        <item x="192"/>
        <item x="259"/>
        <item x="532"/>
        <item x="206"/>
        <item x="305"/>
        <item x="362"/>
        <item x="448"/>
        <item x="100"/>
        <item x="226"/>
        <item x="522"/>
        <item x="252"/>
        <item x="284"/>
        <item x="303"/>
        <item x="84"/>
        <item x="503"/>
        <item x="33"/>
        <item x="28"/>
        <item x="424"/>
        <item x="44"/>
        <item x="513"/>
        <item x="123"/>
        <item x="548"/>
        <item x="523"/>
        <item x="319"/>
        <item t="default"/>
      </items>
    </pivotField>
    <pivotField numFmtId="14" showAll="0"/>
    <pivotField showAll="0"/>
    <pivotField showAll="0"/>
    <pivotField showAll="0">
      <items count="4">
        <item x="0"/>
        <item x="2"/>
        <item x="1"/>
        <item t="default"/>
      </items>
    </pivotField>
    <pivotField showAll="0"/>
    <pivotField showAll="0"/>
    <pivotField showAll="0">
      <items count="5">
        <item x="3"/>
        <item x="1"/>
        <item x="2"/>
        <item x="0"/>
        <item t="default"/>
      </items>
    </pivotField>
    <pivotField showAll="0">
      <items count="4">
        <item x="1"/>
        <item x="2"/>
        <item x="0"/>
        <item t="default"/>
      </items>
    </pivotField>
    <pivotField showAll="0"/>
    <pivotField showAll="0"/>
    <pivotField numFmtId="164" showAll="0"/>
    <pivotField showAll="0"/>
    <pivotField numFmtId="9" showAll="0"/>
    <pivotField numFmtId="164" showAll="0"/>
    <pivotField showAll="0">
      <items count="9">
        <item x="5"/>
        <item x="6"/>
        <item x="0"/>
        <item x="7"/>
        <item x="1"/>
        <item x="3"/>
        <item x="4"/>
        <item x="2"/>
        <item t="default"/>
      </items>
    </pivotField>
    <pivotField showAll="0">
      <items count="5">
        <item x="3"/>
        <item x="0"/>
        <item x="1"/>
        <item x="2"/>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Total Order ID" fld="0" subtotal="count" baseField="0" baseItem="0" numFmtId="3"/>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D1A398C-1FA8-41C2-AC9D-475898ECA9D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20">
    <pivotField showAll="0"/>
    <pivotField numFmtId="14" showAll="0">
      <items count="557">
        <item x="427"/>
        <item x="9"/>
        <item x="308"/>
        <item x="270"/>
        <item x="392"/>
        <item x="389"/>
        <item x="350"/>
        <item x="437"/>
        <item x="177"/>
        <item x="476"/>
        <item x="292"/>
        <item x="256"/>
        <item x="346"/>
        <item x="231"/>
        <item x="322"/>
        <item x="14"/>
        <item x="349"/>
        <item x="37"/>
        <item x="457"/>
        <item x="279"/>
        <item x="36"/>
        <item x="442"/>
        <item x="287"/>
        <item x="223"/>
        <item x="365"/>
        <item x="537"/>
        <item x="224"/>
        <item x="455"/>
        <item x="281"/>
        <item x="382"/>
        <item x="280"/>
        <item x="295"/>
        <item x="411"/>
        <item x="484"/>
        <item x="276"/>
        <item x="265"/>
        <item x="540"/>
        <item x="361"/>
        <item x="202"/>
        <item x="106"/>
        <item x="162"/>
        <item x="510"/>
        <item x="145"/>
        <item x="509"/>
        <item x="479"/>
        <item x="89"/>
        <item x="164"/>
        <item x="199"/>
        <item x="73"/>
        <item x="521"/>
        <item x="78"/>
        <item x="22"/>
        <item x="285"/>
        <item x="30"/>
        <item x="239"/>
        <item x="74"/>
        <item x="494"/>
        <item x="472"/>
        <item x="407"/>
        <item x="186"/>
        <item x="53"/>
        <item x="299"/>
        <item x="129"/>
        <item x="132"/>
        <item x="266"/>
        <item x="409"/>
        <item x="387"/>
        <item x="345"/>
        <item x="438"/>
        <item x="493"/>
        <item x="511"/>
        <item x="551"/>
        <item x="189"/>
        <item x="528"/>
        <item x="552"/>
        <item x="486"/>
        <item x="194"/>
        <item x="502"/>
        <item x="453"/>
        <item x="258"/>
        <item x="221"/>
        <item x="504"/>
        <item x="34"/>
        <item x="91"/>
        <item x="310"/>
        <item x="237"/>
        <item x="525"/>
        <item x="539"/>
        <item x="69"/>
        <item x="62"/>
        <item x="18"/>
        <item x="314"/>
        <item x="546"/>
        <item x="138"/>
        <item x="357"/>
        <item x="290"/>
        <item x="384"/>
        <item x="545"/>
        <item x="360"/>
        <item x="474"/>
        <item x="193"/>
        <item x="151"/>
        <item x="115"/>
        <item x="61"/>
        <item x="520"/>
        <item x="183"/>
        <item x="368"/>
        <item x="203"/>
        <item x="104"/>
        <item x="243"/>
        <item x="80"/>
        <item x="300"/>
        <item x="304"/>
        <item x="122"/>
        <item x="55"/>
        <item x="288"/>
        <item x="527"/>
        <item x="200"/>
        <item x="181"/>
        <item x="375"/>
        <item x="191"/>
        <item x="82"/>
        <item x="444"/>
        <item x="154"/>
        <item x="149"/>
        <item x="103"/>
        <item x="142"/>
        <item x="161"/>
        <item x="105"/>
        <item x="524"/>
        <item x="321"/>
        <item x="96"/>
        <item x="410"/>
        <item x="461"/>
        <item x="323"/>
        <item x="475"/>
        <item x="352"/>
        <item x="470"/>
        <item x="440"/>
        <item x="39"/>
        <item x="379"/>
        <item x="4"/>
        <item x="110"/>
        <item x="413"/>
        <item x="490"/>
        <item x="555"/>
        <item x="547"/>
        <item x="16"/>
        <item x="21"/>
        <item x="514"/>
        <item x="31"/>
        <item x="536"/>
        <item x="26"/>
        <item x="401"/>
        <item x="125"/>
        <item x="244"/>
        <item x="394"/>
        <item x="306"/>
        <item x="124"/>
        <item x="15"/>
        <item x="58"/>
        <item x="17"/>
        <item x="24"/>
        <item x="114"/>
        <item x="329"/>
        <item x="313"/>
        <item x="462"/>
        <item x="324"/>
        <item x="141"/>
        <item x="71"/>
        <item x="11"/>
        <item x="118"/>
        <item x="512"/>
        <item x="236"/>
        <item x="386"/>
        <item x="215"/>
        <item x="225"/>
        <item x="211"/>
        <item x="340"/>
        <item x="173"/>
        <item x="485"/>
        <item x="257"/>
        <item x="255"/>
        <item x="296"/>
        <item x="434"/>
        <item x="3"/>
        <item x="315"/>
        <item x="418"/>
        <item x="515"/>
        <item x="204"/>
        <item x="293"/>
        <item x="416"/>
        <item x="8"/>
        <item x="12"/>
        <item x="229"/>
        <item x="344"/>
        <item x="165"/>
        <item x="393"/>
        <item x="273"/>
        <item x="358"/>
        <item x="97"/>
        <item x="27"/>
        <item x="534"/>
        <item x="268"/>
        <item x="388"/>
        <item x="57"/>
        <item x="330"/>
        <item x="488"/>
        <item x="482"/>
        <item x="487"/>
        <item x="421"/>
        <item x="286"/>
        <item x="128"/>
        <item x="267"/>
        <item x="498"/>
        <item x="464"/>
        <item x="143"/>
        <item x="197"/>
        <item x="272"/>
        <item x="449"/>
        <item x="113"/>
        <item x="383"/>
        <item x="250"/>
        <item x="20"/>
        <item x="341"/>
        <item x="381"/>
        <item x="402"/>
        <item x="6"/>
        <item x="480"/>
        <item x="241"/>
        <item x="278"/>
        <item x="79"/>
        <item x="499"/>
        <item x="328"/>
        <item x="481"/>
        <item x="496"/>
        <item x="98"/>
        <item x="234"/>
        <item x="107"/>
        <item x="95"/>
        <item x="81"/>
        <item x="372"/>
        <item x="400"/>
        <item x="348"/>
        <item x="159"/>
        <item x="144"/>
        <item x="309"/>
        <item x="168"/>
        <item x="190"/>
        <item x="316"/>
        <item x="429"/>
        <item x="398"/>
        <item x="169"/>
        <item x="471"/>
        <item x="60"/>
        <item x="500"/>
        <item x="332"/>
        <item x="454"/>
        <item x="50"/>
        <item x="65"/>
        <item x="135"/>
        <item x="230"/>
        <item x="38"/>
        <item x="274"/>
        <item x="456"/>
        <item x="428"/>
        <item x="127"/>
        <item x="450"/>
        <item x="406"/>
        <item x="468"/>
        <item x="171"/>
        <item x="446"/>
        <item x="549"/>
        <item x="439"/>
        <item x="359"/>
        <item x="355"/>
        <item x="133"/>
        <item x="283"/>
        <item x="353"/>
        <item x="338"/>
        <item x="458"/>
        <item x="49"/>
        <item x="436"/>
        <item x="302"/>
        <item x="90"/>
        <item x="542"/>
        <item x="208"/>
        <item x="431"/>
        <item x="46"/>
        <item x="501"/>
        <item x="166"/>
        <item x="163"/>
        <item x="52"/>
        <item x="326"/>
        <item x="425"/>
        <item x="72"/>
        <item x="201"/>
        <item x="298"/>
        <item x="45"/>
        <item x="63"/>
        <item x="544"/>
        <item x="112"/>
        <item x="214"/>
        <item x="175"/>
        <item x="391"/>
        <item x="289"/>
        <item x="467"/>
        <item x="235"/>
        <item x="469"/>
        <item x="373"/>
        <item x="506"/>
        <item x="342"/>
        <item x="339"/>
        <item x="209"/>
        <item x="42"/>
        <item x="325"/>
        <item x="0"/>
        <item x="213"/>
        <item x="170"/>
        <item x="441"/>
        <item x="351"/>
        <item x="187"/>
        <item x="489"/>
        <item x="311"/>
        <item x="371"/>
        <item x="75"/>
        <item x="443"/>
        <item x="245"/>
        <item x="531"/>
        <item x="10"/>
        <item x="291"/>
        <item x="447"/>
        <item x="380"/>
        <item x="334"/>
        <item x="262"/>
        <item x="519"/>
        <item x="364"/>
        <item x="497"/>
        <item x="94"/>
        <item x="67"/>
        <item x="130"/>
        <item x="508"/>
        <item x="433"/>
        <item x="399"/>
        <item x="205"/>
        <item x="56"/>
        <item x="420"/>
        <item x="111"/>
        <item x="121"/>
        <item x="347"/>
        <item x="219"/>
        <item x="408"/>
        <item x="530"/>
        <item x="473"/>
        <item x="40"/>
        <item x="337"/>
        <item x="403"/>
        <item x="465"/>
        <item x="251"/>
        <item x="333"/>
        <item x="83"/>
        <item x="463"/>
        <item x="430"/>
        <item x="86"/>
        <item x="263"/>
        <item x="369"/>
        <item x="363"/>
        <item x="167"/>
        <item x="158"/>
        <item x="41"/>
        <item x="419"/>
        <item x="228"/>
        <item x="376"/>
        <item x="68"/>
        <item x="477"/>
        <item x="7"/>
        <item x="77"/>
        <item x="483"/>
        <item x="460"/>
        <item x="116"/>
        <item x="137"/>
        <item x="5"/>
        <item x="25"/>
        <item x="93"/>
        <item x="117"/>
        <item x="269"/>
        <item x="492"/>
        <item x="180"/>
        <item x="222"/>
        <item x="233"/>
        <item x="435"/>
        <item x="277"/>
        <item x="29"/>
        <item x="19"/>
        <item x="198"/>
        <item x="354"/>
        <item x="248"/>
        <item x="178"/>
        <item x="249"/>
        <item x="260"/>
        <item x="550"/>
        <item x="156"/>
        <item x="218"/>
        <item x="212"/>
        <item x="247"/>
        <item x="108"/>
        <item x="216"/>
        <item x="210"/>
        <item x="271"/>
        <item x="466"/>
        <item x="184"/>
        <item x="242"/>
        <item x="254"/>
        <item x="92"/>
        <item x="432"/>
        <item x="331"/>
        <item x="179"/>
        <item x="119"/>
        <item x="507"/>
        <item x="307"/>
        <item x="318"/>
        <item x="397"/>
        <item x="196"/>
        <item x="553"/>
        <item x="66"/>
        <item x="188"/>
        <item x="54"/>
        <item x="157"/>
        <item x="517"/>
        <item x="390"/>
        <item x="101"/>
        <item x="516"/>
        <item x="297"/>
        <item x="529"/>
        <item x="294"/>
        <item x="495"/>
        <item x="404"/>
        <item x="59"/>
        <item x="414"/>
        <item x="182"/>
        <item x="160"/>
        <item x="185"/>
        <item x="207"/>
        <item x="109"/>
        <item x="356"/>
        <item x="220"/>
        <item x="505"/>
        <item x="312"/>
        <item x="385"/>
        <item x="261"/>
        <item x="445"/>
        <item x="335"/>
        <item x="238"/>
        <item x="377"/>
        <item x="155"/>
        <item x="35"/>
        <item x="227"/>
        <item x="301"/>
        <item x="88"/>
        <item x="153"/>
        <item x="48"/>
        <item x="148"/>
        <item x="533"/>
        <item x="367"/>
        <item x="136"/>
        <item x="317"/>
        <item x="246"/>
        <item x="370"/>
        <item x="2"/>
        <item x="126"/>
        <item x="240"/>
        <item x="518"/>
        <item x="51"/>
        <item x="174"/>
        <item x="282"/>
        <item x="459"/>
        <item x="85"/>
        <item x="336"/>
        <item x="478"/>
        <item x="232"/>
        <item x="535"/>
        <item x="396"/>
        <item x="217"/>
        <item x="415"/>
        <item x="412"/>
        <item x="23"/>
        <item x="176"/>
        <item x="327"/>
        <item x="395"/>
        <item x="150"/>
        <item x="543"/>
        <item x="253"/>
        <item x="538"/>
        <item x="140"/>
        <item x="554"/>
        <item x="131"/>
        <item x="422"/>
        <item x="1"/>
        <item x="451"/>
        <item x="491"/>
        <item x="146"/>
        <item x="426"/>
        <item x="374"/>
        <item x="405"/>
        <item x="70"/>
        <item x="320"/>
        <item x="120"/>
        <item x="541"/>
        <item x="343"/>
        <item x="452"/>
        <item x="43"/>
        <item x="47"/>
        <item x="172"/>
        <item x="275"/>
        <item x="99"/>
        <item x="152"/>
        <item x="139"/>
        <item x="378"/>
        <item x="87"/>
        <item x="64"/>
        <item x="526"/>
        <item x="134"/>
        <item x="147"/>
        <item x="423"/>
        <item x="102"/>
        <item x="76"/>
        <item x="13"/>
        <item x="366"/>
        <item x="195"/>
        <item x="417"/>
        <item x="264"/>
        <item x="32"/>
        <item x="192"/>
        <item x="259"/>
        <item x="532"/>
        <item x="206"/>
        <item x="305"/>
        <item x="362"/>
        <item x="448"/>
        <item x="100"/>
        <item x="226"/>
        <item x="522"/>
        <item x="252"/>
        <item x="284"/>
        <item x="303"/>
        <item x="84"/>
        <item x="503"/>
        <item x="33"/>
        <item x="28"/>
        <item x="424"/>
        <item x="44"/>
        <item x="513"/>
        <item x="123"/>
        <item x="548"/>
        <item x="523"/>
        <item x="319"/>
        <item t="default"/>
      </items>
    </pivotField>
    <pivotField numFmtId="14" showAll="0"/>
    <pivotField showAll="0"/>
    <pivotField showAll="0"/>
    <pivotField showAll="0">
      <items count="4">
        <item x="0"/>
        <item x="2"/>
        <item x="1"/>
        <item t="default"/>
      </items>
    </pivotField>
    <pivotField showAll="0"/>
    <pivotField showAll="0"/>
    <pivotField showAll="0">
      <items count="5">
        <item x="3"/>
        <item x="1"/>
        <item x="2"/>
        <item x="0"/>
        <item t="default"/>
      </items>
    </pivotField>
    <pivotField showAll="0">
      <items count="4">
        <item x="1"/>
        <item x="2"/>
        <item x="0"/>
        <item t="default"/>
      </items>
    </pivotField>
    <pivotField showAll="0"/>
    <pivotField showAll="0"/>
    <pivotField dataField="1" numFmtId="164" showAll="0"/>
    <pivotField showAll="0"/>
    <pivotField numFmtId="9" showAll="0"/>
    <pivotField numFmtId="164" showAll="0"/>
    <pivotField showAll="0">
      <items count="9">
        <item x="5"/>
        <item x="6"/>
        <item x="0"/>
        <item x="7"/>
        <item x="1"/>
        <item x="3"/>
        <item x="4"/>
        <item x="2"/>
        <item t="default"/>
      </items>
    </pivotField>
    <pivotField showAll="0">
      <items count="5">
        <item x="3"/>
        <item x="0"/>
        <item x="1"/>
        <item x="2"/>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Total Sales" fld="1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5E65830-7A5A-44FE-BFD4-E5E5F084DBA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0:B35" firstHeaderRow="1" firstDataRow="1" firstDataCol="1"/>
  <pivotFields count="20">
    <pivotField showAll="0"/>
    <pivotField numFmtId="14" showAll="0">
      <items count="557">
        <item x="427"/>
        <item x="9"/>
        <item x="308"/>
        <item x="270"/>
        <item x="392"/>
        <item x="389"/>
        <item x="350"/>
        <item x="437"/>
        <item x="177"/>
        <item x="476"/>
        <item x="292"/>
        <item x="256"/>
        <item x="346"/>
        <item x="231"/>
        <item x="322"/>
        <item x="14"/>
        <item x="349"/>
        <item x="37"/>
        <item x="457"/>
        <item x="279"/>
        <item x="36"/>
        <item x="442"/>
        <item x="287"/>
        <item x="223"/>
        <item x="365"/>
        <item x="537"/>
        <item x="224"/>
        <item x="455"/>
        <item x="281"/>
        <item x="382"/>
        <item x="280"/>
        <item x="295"/>
        <item x="411"/>
        <item x="484"/>
        <item x="276"/>
        <item x="265"/>
        <item x="540"/>
        <item x="361"/>
        <item x="202"/>
        <item x="106"/>
        <item x="162"/>
        <item x="510"/>
        <item x="145"/>
        <item x="509"/>
        <item x="479"/>
        <item x="89"/>
        <item x="164"/>
        <item x="199"/>
        <item x="73"/>
        <item x="521"/>
        <item x="78"/>
        <item x="22"/>
        <item x="285"/>
        <item x="30"/>
        <item x="239"/>
        <item x="74"/>
        <item x="494"/>
        <item x="472"/>
        <item x="407"/>
        <item x="186"/>
        <item x="53"/>
        <item x="299"/>
        <item x="129"/>
        <item x="132"/>
        <item x="266"/>
        <item x="409"/>
        <item x="387"/>
        <item x="345"/>
        <item x="438"/>
        <item x="493"/>
        <item x="511"/>
        <item x="551"/>
        <item x="189"/>
        <item x="528"/>
        <item x="552"/>
        <item x="486"/>
        <item x="194"/>
        <item x="502"/>
        <item x="453"/>
        <item x="258"/>
        <item x="221"/>
        <item x="504"/>
        <item x="34"/>
        <item x="91"/>
        <item x="310"/>
        <item x="237"/>
        <item x="525"/>
        <item x="539"/>
        <item x="69"/>
        <item x="62"/>
        <item x="18"/>
        <item x="314"/>
        <item x="546"/>
        <item x="138"/>
        <item x="357"/>
        <item x="290"/>
        <item x="384"/>
        <item x="545"/>
        <item x="360"/>
        <item x="474"/>
        <item x="193"/>
        <item x="151"/>
        <item x="115"/>
        <item x="61"/>
        <item x="520"/>
        <item x="183"/>
        <item x="368"/>
        <item x="203"/>
        <item x="104"/>
        <item x="243"/>
        <item x="80"/>
        <item x="300"/>
        <item x="304"/>
        <item x="122"/>
        <item x="55"/>
        <item x="288"/>
        <item x="527"/>
        <item x="200"/>
        <item x="181"/>
        <item x="375"/>
        <item x="191"/>
        <item x="82"/>
        <item x="444"/>
        <item x="154"/>
        <item x="149"/>
        <item x="103"/>
        <item x="142"/>
        <item x="161"/>
        <item x="105"/>
        <item x="524"/>
        <item x="321"/>
        <item x="96"/>
        <item x="410"/>
        <item x="461"/>
        <item x="323"/>
        <item x="475"/>
        <item x="352"/>
        <item x="470"/>
        <item x="440"/>
        <item x="39"/>
        <item x="379"/>
        <item x="4"/>
        <item x="110"/>
        <item x="413"/>
        <item x="490"/>
        <item x="555"/>
        <item x="547"/>
        <item x="16"/>
        <item x="21"/>
        <item x="514"/>
        <item x="31"/>
        <item x="536"/>
        <item x="26"/>
        <item x="401"/>
        <item x="125"/>
        <item x="244"/>
        <item x="394"/>
        <item x="306"/>
        <item x="124"/>
        <item x="15"/>
        <item x="58"/>
        <item x="17"/>
        <item x="24"/>
        <item x="114"/>
        <item x="329"/>
        <item x="313"/>
        <item x="462"/>
        <item x="324"/>
        <item x="141"/>
        <item x="71"/>
        <item x="11"/>
        <item x="118"/>
        <item x="512"/>
        <item x="236"/>
        <item x="386"/>
        <item x="215"/>
        <item x="225"/>
        <item x="211"/>
        <item x="340"/>
        <item x="173"/>
        <item x="485"/>
        <item x="257"/>
        <item x="255"/>
        <item x="296"/>
        <item x="434"/>
        <item x="3"/>
        <item x="315"/>
        <item x="418"/>
        <item x="515"/>
        <item x="204"/>
        <item x="293"/>
        <item x="416"/>
        <item x="8"/>
        <item x="12"/>
        <item x="229"/>
        <item x="344"/>
        <item x="165"/>
        <item x="393"/>
        <item x="273"/>
        <item x="358"/>
        <item x="97"/>
        <item x="27"/>
        <item x="534"/>
        <item x="268"/>
        <item x="388"/>
        <item x="57"/>
        <item x="330"/>
        <item x="488"/>
        <item x="482"/>
        <item x="487"/>
        <item x="421"/>
        <item x="286"/>
        <item x="128"/>
        <item x="267"/>
        <item x="498"/>
        <item x="464"/>
        <item x="143"/>
        <item x="197"/>
        <item x="272"/>
        <item x="449"/>
        <item x="113"/>
        <item x="383"/>
        <item x="250"/>
        <item x="20"/>
        <item x="341"/>
        <item x="381"/>
        <item x="402"/>
        <item x="6"/>
        <item x="480"/>
        <item x="241"/>
        <item x="278"/>
        <item x="79"/>
        <item x="499"/>
        <item x="328"/>
        <item x="481"/>
        <item x="496"/>
        <item x="98"/>
        <item x="234"/>
        <item x="107"/>
        <item x="95"/>
        <item x="81"/>
        <item x="372"/>
        <item x="400"/>
        <item x="348"/>
        <item x="159"/>
        <item x="144"/>
        <item x="309"/>
        <item x="168"/>
        <item x="190"/>
        <item x="316"/>
        <item x="429"/>
        <item x="398"/>
        <item x="169"/>
        <item x="471"/>
        <item x="60"/>
        <item x="500"/>
        <item x="332"/>
        <item x="454"/>
        <item x="50"/>
        <item x="65"/>
        <item x="135"/>
        <item x="230"/>
        <item x="38"/>
        <item x="274"/>
        <item x="456"/>
        <item x="428"/>
        <item x="127"/>
        <item x="450"/>
        <item x="406"/>
        <item x="468"/>
        <item x="171"/>
        <item x="446"/>
        <item x="549"/>
        <item x="439"/>
        <item x="359"/>
        <item x="355"/>
        <item x="133"/>
        <item x="283"/>
        <item x="353"/>
        <item x="338"/>
        <item x="458"/>
        <item x="49"/>
        <item x="436"/>
        <item x="302"/>
        <item x="90"/>
        <item x="542"/>
        <item x="208"/>
        <item x="431"/>
        <item x="46"/>
        <item x="501"/>
        <item x="166"/>
        <item x="163"/>
        <item x="52"/>
        <item x="326"/>
        <item x="425"/>
        <item x="72"/>
        <item x="201"/>
        <item x="298"/>
        <item x="45"/>
        <item x="63"/>
        <item x="544"/>
        <item x="112"/>
        <item x="214"/>
        <item x="175"/>
        <item x="391"/>
        <item x="289"/>
        <item x="467"/>
        <item x="235"/>
        <item x="469"/>
        <item x="373"/>
        <item x="506"/>
        <item x="342"/>
        <item x="339"/>
        <item x="209"/>
        <item x="42"/>
        <item x="325"/>
        <item x="0"/>
        <item x="213"/>
        <item x="170"/>
        <item x="441"/>
        <item x="351"/>
        <item x="187"/>
        <item x="489"/>
        <item x="311"/>
        <item x="371"/>
        <item x="75"/>
        <item x="443"/>
        <item x="245"/>
        <item x="531"/>
        <item x="10"/>
        <item x="291"/>
        <item x="447"/>
        <item x="380"/>
        <item x="334"/>
        <item x="262"/>
        <item x="519"/>
        <item x="364"/>
        <item x="497"/>
        <item x="94"/>
        <item x="67"/>
        <item x="130"/>
        <item x="508"/>
        <item x="433"/>
        <item x="399"/>
        <item x="205"/>
        <item x="56"/>
        <item x="420"/>
        <item x="111"/>
        <item x="121"/>
        <item x="347"/>
        <item x="219"/>
        <item x="408"/>
        <item x="530"/>
        <item x="473"/>
        <item x="40"/>
        <item x="337"/>
        <item x="403"/>
        <item x="465"/>
        <item x="251"/>
        <item x="333"/>
        <item x="83"/>
        <item x="463"/>
        <item x="430"/>
        <item x="86"/>
        <item x="263"/>
        <item x="369"/>
        <item x="363"/>
        <item x="167"/>
        <item x="158"/>
        <item x="41"/>
        <item x="419"/>
        <item x="228"/>
        <item x="376"/>
        <item x="68"/>
        <item x="477"/>
        <item x="7"/>
        <item x="77"/>
        <item x="483"/>
        <item x="460"/>
        <item x="116"/>
        <item x="137"/>
        <item x="5"/>
        <item x="25"/>
        <item x="93"/>
        <item x="117"/>
        <item x="269"/>
        <item x="492"/>
        <item x="180"/>
        <item x="222"/>
        <item x="233"/>
        <item x="435"/>
        <item x="277"/>
        <item x="29"/>
        <item x="19"/>
        <item x="198"/>
        <item x="354"/>
        <item x="248"/>
        <item x="178"/>
        <item x="249"/>
        <item x="260"/>
        <item x="550"/>
        <item x="156"/>
        <item x="218"/>
        <item x="212"/>
        <item x="247"/>
        <item x="108"/>
        <item x="216"/>
        <item x="210"/>
        <item x="271"/>
        <item x="466"/>
        <item x="184"/>
        <item x="242"/>
        <item x="254"/>
        <item x="92"/>
        <item x="432"/>
        <item x="331"/>
        <item x="179"/>
        <item x="119"/>
        <item x="507"/>
        <item x="307"/>
        <item x="318"/>
        <item x="397"/>
        <item x="196"/>
        <item x="553"/>
        <item x="66"/>
        <item x="188"/>
        <item x="54"/>
        <item x="157"/>
        <item x="517"/>
        <item x="390"/>
        <item x="101"/>
        <item x="516"/>
        <item x="297"/>
        <item x="529"/>
        <item x="294"/>
        <item x="495"/>
        <item x="404"/>
        <item x="59"/>
        <item x="414"/>
        <item x="182"/>
        <item x="160"/>
        <item x="185"/>
        <item x="207"/>
        <item x="109"/>
        <item x="356"/>
        <item x="220"/>
        <item x="505"/>
        <item x="312"/>
        <item x="385"/>
        <item x="261"/>
        <item x="445"/>
        <item x="335"/>
        <item x="238"/>
        <item x="377"/>
        <item x="155"/>
        <item x="35"/>
        <item x="227"/>
        <item x="301"/>
        <item x="88"/>
        <item x="153"/>
        <item x="48"/>
        <item x="148"/>
        <item x="533"/>
        <item x="367"/>
        <item x="136"/>
        <item x="317"/>
        <item x="246"/>
        <item x="370"/>
        <item x="2"/>
        <item x="126"/>
        <item x="240"/>
        <item x="518"/>
        <item x="51"/>
        <item x="174"/>
        <item x="282"/>
        <item x="459"/>
        <item x="85"/>
        <item x="336"/>
        <item x="478"/>
        <item x="232"/>
        <item x="535"/>
        <item x="396"/>
        <item x="217"/>
        <item x="415"/>
        <item x="412"/>
        <item x="23"/>
        <item x="176"/>
        <item x="327"/>
        <item x="395"/>
        <item x="150"/>
        <item x="543"/>
        <item x="253"/>
        <item x="538"/>
        <item x="140"/>
        <item x="554"/>
        <item x="131"/>
        <item x="422"/>
        <item x="1"/>
        <item x="451"/>
        <item x="491"/>
        <item x="146"/>
        <item x="426"/>
        <item x="374"/>
        <item x="405"/>
        <item x="70"/>
        <item x="320"/>
        <item x="120"/>
        <item x="541"/>
        <item x="343"/>
        <item x="452"/>
        <item x="43"/>
        <item x="47"/>
        <item x="172"/>
        <item x="275"/>
        <item x="99"/>
        <item x="152"/>
        <item x="139"/>
        <item x="378"/>
        <item x="87"/>
        <item x="64"/>
        <item x="526"/>
        <item x="134"/>
        <item x="147"/>
        <item x="423"/>
        <item x="102"/>
        <item x="76"/>
        <item x="13"/>
        <item x="366"/>
        <item x="195"/>
        <item x="417"/>
        <item x="264"/>
        <item x="32"/>
        <item x="192"/>
        <item x="259"/>
        <item x="532"/>
        <item x="206"/>
        <item x="305"/>
        <item x="362"/>
        <item x="448"/>
        <item x="100"/>
        <item x="226"/>
        <item x="522"/>
        <item x="252"/>
        <item x="284"/>
        <item x="303"/>
        <item x="84"/>
        <item x="503"/>
        <item x="33"/>
        <item x="28"/>
        <item x="424"/>
        <item x="44"/>
        <item x="513"/>
        <item x="123"/>
        <item x="548"/>
        <item x="523"/>
        <item x="319"/>
        <item t="default"/>
      </items>
    </pivotField>
    <pivotField numFmtId="14" showAll="0"/>
    <pivotField showAll="0"/>
    <pivotField showAll="0"/>
    <pivotField showAll="0">
      <items count="4">
        <item x="0"/>
        <item x="2"/>
        <item x="1"/>
        <item t="default"/>
      </items>
    </pivotField>
    <pivotField showAll="0"/>
    <pivotField showAll="0"/>
    <pivotField axis="axisRow" showAll="0">
      <items count="5">
        <item x="3"/>
        <item x="1"/>
        <item x="2"/>
        <item x="0"/>
        <item t="default"/>
      </items>
    </pivotField>
    <pivotField showAll="0">
      <items count="4">
        <item x="1"/>
        <item x="2"/>
        <item x="0"/>
        <item t="default"/>
      </items>
    </pivotField>
    <pivotField showAll="0"/>
    <pivotField showAll="0"/>
    <pivotField dataField="1" numFmtId="164" showAll="0"/>
    <pivotField showAll="0"/>
    <pivotField numFmtId="9" showAll="0"/>
    <pivotField numFmtId="164" showAll="0"/>
    <pivotField showAll="0">
      <items count="9">
        <item x="5"/>
        <item x="6"/>
        <item x="0"/>
        <item x="7"/>
        <item x="1"/>
        <item x="3"/>
        <item x="4"/>
        <item x="2"/>
        <item t="default"/>
      </items>
    </pivotField>
    <pivotField showAll="0">
      <items count="5">
        <item x="3"/>
        <item x="0"/>
        <item x="1"/>
        <item x="2"/>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8"/>
  </rowFields>
  <rowItems count="5">
    <i>
      <x/>
    </i>
    <i>
      <x v="1"/>
    </i>
    <i>
      <x v="2"/>
    </i>
    <i>
      <x v="3"/>
    </i>
    <i t="grand">
      <x/>
    </i>
  </rowItems>
  <colItems count="1">
    <i/>
  </colItems>
  <dataFields count="1">
    <dataField name="Sum of Sales" fld="12"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64561ED-CDE2-4EF0-BE07-DE5AEC376C1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A23" firstHeaderRow="1" firstDataRow="1" firstDataCol="0"/>
  <pivotFields count="20">
    <pivotField showAll="0"/>
    <pivotField numFmtId="14" showAll="0">
      <items count="557">
        <item x="427"/>
        <item x="9"/>
        <item x="308"/>
        <item x="270"/>
        <item x="392"/>
        <item x="389"/>
        <item x="350"/>
        <item x="437"/>
        <item x="177"/>
        <item x="476"/>
        <item x="292"/>
        <item x="256"/>
        <item x="346"/>
        <item x="231"/>
        <item x="322"/>
        <item x="14"/>
        <item x="349"/>
        <item x="37"/>
        <item x="457"/>
        <item x="279"/>
        <item x="36"/>
        <item x="442"/>
        <item x="287"/>
        <item x="223"/>
        <item x="365"/>
        <item x="537"/>
        <item x="224"/>
        <item x="455"/>
        <item x="281"/>
        <item x="382"/>
        <item x="280"/>
        <item x="295"/>
        <item x="411"/>
        <item x="484"/>
        <item x="276"/>
        <item x="265"/>
        <item x="540"/>
        <item x="361"/>
        <item x="202"/>
        <item x="106"/>
        <item x="162"/>
        <item x="510"/>
        <item x="145"/>
        <item x="509"/>
        <item x="479"/>
        <item x="89"/>
        <item x="164"/>
        <item x="199"/>
        <item x="73"/>
        <item x="521"/>
        <item x="78"/>
        <item x="22"/>
        <item x="285"/>
        <item x="30"/>
        <item x="239"/>
        <item x="74"/>
        <item x="494"/>
        <item x="472"/>
        <item x="407"/>
        <item x="186"/>
        <item x="53"/>
        <item x="299"/>
        <item x="129"/>
        <item x="132"/>
        <item x="266"/>
        <item x="409"/>
        <item x="387"/>
        <item x="345"/>
        <item x="438"/>
        <item x="493"/>
        <item x="511"/>
        <item x="551"/>
        <item x="189"/>
        <item x="528"/>
        <item x="552"/>
        <item x="486"/>
        <item x="194"/>
        <item x="502"/>
        <item x="453"/>
        <item x="258"/>
        <item x="221"/>
        <item x="504"/>
        <item x="34"/>
        <item x="91"/>
        <item x="310"/>
        <item x="237"/>
        <item x="525"/>
        <item x="539"/>
        <item x="69"/>
        <item x="62"/>
        <item x="18"/>
        <item x="314"/>
        <item x="546"/>
        <item x="138"/>
        <item x="357"/>
        <item x="290"/>
        <item x="384"/>
        <item x="545"/>
        <item x="360"/>
        <item x="474"/>
        <item x="193"/>
        <item x="151"/>
        <item x="115"/>
        <item x="61"/>
        <item x="520"/>
        <item x="183"/>
        <item x="368"/>
        <item x="203"/>
        <item x="104"/>
        <item x="243"/>
        <item x="80"/>
        <item x="300"/>
        <item x="304"/>
        <item x="122"/>
        <item x="55"/>
        <item x="288"/>
        <item x="527"/>
        <item x="200"/>
        <item x="181"/>
        <item x="375"/>
        <item x="191"/>
        <item x="82"/>
        <item x="444"/>
        <item x="154"/>
        <item x="149"/>
        <item x="103"/>
        <item x="142"/>
        <item x="161"/>
        <item x="105"/>
        <item x="524"/>
        <item x="321"/>
        <item x="96"/>
        <item x="410"/>
        <item x="461"/>
        <item x="323"/>
        <item x="475"/>
        <item x="352"/>
        <item x="470"/>
        <item x="440"/>
        <item x="39"/>
        <item x="379"/>
        <item x="4"/>
        <item x="110"/>
        <item x="413"/>
        <item x="490"/>
        <item x="555"/>
        <item x="547"/>
        <item x="16"/>
        <item x="21"/>
        <item x="514"/>
        <item x="31"/>
        <item x="536"/>
        <item x="26"/>
        <item x="401"/>
        <item x="125"/>
        <item x="244"/>
        <item x="394"/>
        <item x="306"/>
        <item x="124"/>
        <item x="15"/>
        <item x="58"/>
        <item x="17"/>
        <item x="24"/>
        <item x="114"/>
        <item x="329"/>
        <item x="313"/>
        <item x="462"/>
        <item x="324"/>
        <item x="141"/>
        <item x="71"/>
        <item x="11"/>
        <item x="118"/>
        <item x="512"/>
        <item x="236"/>
        <item x="386"/>
        <item x="215"/>
        <item x="225"/>
        <item x="211"/>
        <item x="340"/>
        <item x="173"/>
        <item x="485"/>
        <item x="257"/>
        <item x="255"/>
        <item x="296"/>
        <item x="434"/>
        <item x="3"/>
        <item x="315"/>
        <item x="418"/>
        <item x="515"/>
        <item x="204"/>
        <item x="293"/>
        <item x="416"/>
        <item x="8"/>
        <item x="12"/>
        <item x="229"/>
        <item x="344"/>
        <item x="165"/>
        <item x="393"/>
        <item x="273"/>
        <item x="358"/>
        <item x="97"/>
        <item x="27"/>
        <item x="534"/>
        <item x="268"/>
        <item x="388"/>
        <item x="57"/>
        <item x="330"/>
        <item x="488"/>
        <item x="482"/>
        <item x="487"/>
        <item x="421"/>
        <item x="286"/>
        <item x="128"/>
        <item x="267"/>
        <item x="498"/>
        <item x="464"/>
        <item x="143"/>
        <item x="197"/>
        <item x="272"/>
        <item x="449"/>
        <item x="113"/>
        <item x="383"/>
        <item x="250"/>
        <item x="20"/>
        <item x="341"/>
        <item x="381"/>
        <item x="402"/>
        <item x="6"/>
        <item x="480"/>
        <item x="241"/>
        <item x="278"/>
        <item x="79"/>
        <item x="499"/>
        <item x="328"/>
        <item x="481"/>
        <item x="496"/>
        <item x="98"/>
        <item x="234"/>
        <item x="107"/>
        <item x="95"/>
        <item x="81"/>
        <item x="372"/>
        <item x="400"/>
        <item x="348"/>
        <item x="159"/>
        <item x="144"/>
        <item x="309"/>
        <item x="168"/>
        <item x="190"/>
        <item x="316"/>
        <item x="429"/>
        <item x="398"/>
        <item x="169"/>
        <item x="471"/>
        <item x="60"/>
        <item x="500"/>
        <item x="332"/>
        <item x="454"/>
        <item x="50"/>
        <item x="65"/>
        <item x="135"/>
        <item x="230"/>
        <item x="38"/>
        <item x="274"/>
        <item x="456"/>
        <item x="428"/>
        <item x="127"/>
        <item x="450"/>
        <item x="406"/>
        <item x="468"/>
        <item x="171"/>
        <item x="446"/>
        <item x="549"/>
        <item x="439"/>
        <item x="359"/>
        <item x="355"/>
        <item x="133"/>
        <item x="283"/>
        <item x="353"/>
        <item x="338"/>
        <item x="458"/>
        <item x="49"/>
        <item x="436"/>
        <item x="302"/>
        <item x="90"/>
        <item x="542"/>
        <item x="208"/>
        <item x="431"/>
        <item x="46"/>
        <item x="501"/>
        <item x="166"/>
        <item x="163"/>
        <item x="52"/>
        <item x="326"/>
        <item x="425"/>
        <item x="72"/>
        <item x="201"/>
        <item x="298"/>
        <item x="45"/>
        <item x="63"/>
        <item x="544"/>
        <item x="112"/>
        <item x="214"/>
        <item x="175"/>
        <item x="391"/>
        <item x="289"/>
        <item x="467"/>
        <item x="235"/>
        <item x="469"/>
        <item x="373"/>
        <item x="506"/>
        <item x="342"/>
        <item x="339"/>
        <item x="209"/>
        <item x="42"/>
        <item x="325"/>
        <item x="0"/>
        <item x="213"/>
        <item x="170"/>
        <item x="441"/>
        <item x="351"/>
        <item x="187"/>
        <item x="489"/>
        <item x="311"/>
        <item x="371"/>
        <item x="75"/>
        <item x="443"/>
        <item x="245"/>
        <item x="531"/>
        <item x="10"/>
        <item x="291"/>
        <item x="447"/>
        <item x="380"/>
        <item x="334"/>
        <item x="262"/>
        <item x="519"/>
        <item x="364"/>
        <item x="497"/>
        <item x="94"/>
        <item x="67"/>
        <item x="130"/>
        <item x="508"/>
        <item x="433"/>
        <item x="399"/>
        <item x="205"/>
        <item x="56"/>
        <item x="420"/>
        <item x="111"/>
        <item x="121"/>
        <item x="347"/>
        <item x="219"/>
        <item x="408"/>
        <item x="530"/>
        <item x="473"/>
        <item x="40"/>
        <item x="337"/>
        <item x="403"/>
        <item x="465"/>
        <item x="251"/>
        <item x="333"/>
        <item x="83"/>
        <item x="463"/>
        <item x="430"/>
        <item x="86"/>
        <item x="263"/>
        <item x="369"/>
        <item x="363"/>
        <item x="167"/>
        <item x="158"/>
        <item x="41"/>
        <item x="419"/>
        <item x="228"/>
        <item x="376"/>
        <item x="68"/>
        <item x="477"/>
        <item x="7"/>
        <item x="77"/>
        <item x="483"/>
        <item x="460"/>
        <item x="116"/>
        <item x="137"/>
        <item x="5"/>
        <item x="25"/>
        <item x="93"/>
        <item x="117"/>
        <item x="269"/>
        <item x="492"/>
        <item x="180"/>
        <item x="222"/>
        <item x="233"/>
        <item x="435"/>
        <item x="277"/>
        <item x="29"/>
        <item x="19"/>
        <item x="198"/>
        <item x="354"/>
        <item x="248"/>
        <item x="178"/>
        <item x="249"/>
        <item x="260"/>
        <item x="550"/>
        <item x="156"/>
        <item x="218"/>
        <item x="212"/>
        <item x="247"/>
        <item x="108"/>
        <item x="216"/>
        <item x="210"/>
        <item x="271"/>
        <item x="466"/>
        <item x="184"/>
        <item x="242"/>
        <item x="254"/>
        <item x="92"/>
        <item x="432"/>
        <item x="331"/>
        <item x="179"/>
        <item x="119"/>
        <item x="507"/>
        <item x="307"/>
        <item x="318"/>
        <item x="397"/>
        <item x="196"/>
        <item x="553"/>
        <item x="66"/>
        <item x="188"/>
        <item x="54"/>
        <item x="157"/>
        <item x="517"/>
        <item x="390"/>
        <item x="101"/>
        <item x="516"/>
        <item x="297"/>
        <item x="529"/>
        <item x="294"/>
        <item x="495"/>
        <item x="404"/>
        <item x="59"/>
        <item x="414"/>
        <item x="182"/>
        <item x="160"/>
        <item x="185"/>
        <item x="207"/>
        <item x="109"/>
        <item x="356"/>
        <item x="220"/>
        <item x="505"/>
        <item x="312"/>
        <item x="385"/>
        <item x="261"/>
        <item x="445"/>
        <item x="335"/>
        <item x="238"/>
        <item x="377"/>
        <item x="155"/>
        <item x="35"/>
        <item x="227"/>
        <item x="301"/>
        <item x="88"/>
        <item x="153"/>
        <item x="48"/>
        <item x="148"/>
        <item x="533"/>
        <item x="367"/>
        <item x="136"/>
        <item x="317"/>
        <item x="246"/>
        <item x="370"/>
        <item x="2"/>
        <item x="126"/>
        <item x="240"/>
        <item x="518"/>
        <item x="51"/>
        <item x="174"/>
        <item x="282"/>
        <item x="459"/>
        <item x="85"/>
        <item x="336"/>
        <item x="478"/>
        <item x="232"/>
        <item x="535"/>
        <item x="396"/>
        <item x="217"/>
        <item x="415"/>
        <item x="412"/>
        <item x="23"/>
        <item x="176"/>
        <item x="327"/>
        <item x="395"/>
        <item x="150"/>
        <item x="543"/>
        <item x="253"/>
        <item x="538"/>
        <item x="140"/>
        <item x="554"/>
        <item x="131"/>
        <item x="422"/>
        <item x="1"/>
        <item x="451"/>
        <item x="491"/>
        <item x="146"/>
        <item x="426"/>
        <item x="374"/>
        <item x="405"/>
        <item x="70"/>
        <item x="320"/>
        <item x="120"/>
        <item x="541"/>
        <item x="343"/>
        <item x="452"/>
        <item x="43"/>
        <item x="47"/>
        <item x="172"/>
        <item x="275"/>
        <item x="99"/>
        <item x="152"/>
        <item x="139"/>
        <item x="378"/>
        <item x="87"/>
        <item x="64"/>
        <item x="526"/>
        <item x="134"/>
        <item x="147"/>
        <item x="423"/>
        <item x="102"/>
        <item x="76"/>
        <item x="13"/>
        <item x="366"/>
        <item x="195"/>
        <item x="417"/>
        <item x="264"/>
        <item x="32"/>
        <item x="192"/>
        <item x="259"/>
        <item x="532"/>
        <item x="206"/>
        <item x="305"/>
        <item x="362"/>
        <item x="448"/>
        <item x="100"/>
        <item x="226"/>
        <item x="522"/>
        <item x="252"/>
        <item x="284"/>
        <item x="303"/>
        <item x="84"/>
        <item x="503"/>
        <item x="33"/>
        <item x="28"/>
        <item x="424"/>
        <item x="44"/>
        <item x="513"/>
        <item x="123"/>
        <item x="548"/>
        <item x="523"/>
        <item x="319"/>
        <item t="default"/>
      </items>
    </pivotField>
    <pivotField numFmtId="14" showAll="0"/>
    <pivotField showAll="0"/>
    <pivotField showAll="0"/>
    <pivotField showAll="0">
      <items count="4">
        <item x="0"/>
        <item x="2"/>
        <item x="1"/>
        <item t="default"/>
      </items>
    </pivotField>
    <pivotField showAll="0"/>
    <pivotField showAll="0"/>
    <pivotField showAll="0">
      <items count="5">
        <item x="3"/>
        <item x="1"/>
        <item x="2"/>
        <item x="0"/>
        <item t="default"/>
      </items>
    </pivotField>
    <pivotField showAll="0">
      <items count="4">
        <item x="1"/>
        <item x="2"/>
        <item x="0"/>
        <item t="default"/>
      </items>
    </pivotField>
    <pivotField showAll="0"/>
    <pivotField showAll="0"/>
    <pivotField numFmtId="164" showAll="0"/>
    <pivotField dataField="1" showAll="0"/>
    <pivotField numFmtId="9" showAll="0"/>
    <pivotField numFmtId="164" showAll="0"/>
    <pivotField showAll="0">
      <items count="9">
        <item x="5"/>
        <item x="6"/>
        <item x="0"/>
        <item x="7"/>
        <item x="1"/>
        <item x="3"/>
        <item x="4"/>
        <item x="2"/>
        <item t="default"/>
      </items>
    </pivotField>
    <pivotField showAll="0">
      <items count="5">
        <item x="3"/>
        <item x="0"/>
        <item x="1"/>
        <item x="2"/>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Total Quantity" fld="13" baseField="0" baseItem="0" numFmtId="3"/>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5FDF2CC-7BF1-48EB-AD2B-17CAF7C0C3F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20">
    <pivotField showAll="0"/>
    <pivotField numFmtId="14" showAll="0">
      <items count="557">
        <item x="427"/>
        <item x="9"/>
        <item x="308"/>
        <item x="270"/>
        <item x="392"/>
        <item x="389"/>
        <item x="350"/>
        <item x="437"/>
        <item x="177"/>
        <item x="476"/>
        <item x="292"/>
        <item x="256"/>
        <item x="346"/>
        <item x="231"/>
        <item x="322"/>
        <item x="14"/>
        <item x="349"/>
        <item x="37"/>
        <item x="457"/>
        <item x="279"/>
        <item x="36"/>
        <item x="442"/>
        <item x="287"/>
        <item x="223"/>
        <item x="365"/>
        <item x="537"/>
        <item x="224"/>
        <item x="455"/>
        <item x="281"/>
        <item x="382"/>
        <item x="280"/>
        <item x="295"/>
        <item x="411"/>
        <item x="484"/>
        <item x="276"/>
        <item x="265"/>
        <item x="540"/>
        <item x="361"/>
        <item x="202"/>
        <item x="106"/>
        <item x="162"/>
        <item x="510"/>
        <item x="145"/>
        <item x="509"/>
        <item x="479"/>
        <item x="89"/>
        <item x="164"/>
        <item x="199"/>
        <item x="73"/>
        <item x="521"/>
        <item x="78"/>
        <item x="22"/>
        <item x="285"/>
        <item x="30"/>
        <item x="239"/>
        <item x="74"/>
        <item x="494"/>
        <item x="472"/>
        <item x="407"/>
        <item x="186"/>
        <item x="53"/>
        <item x="299"/>
        <item x="129"/>
        <item x="132"/>
        <item x="266"/>
        <item x="409"/>
        <item x="387"/>
        <item x="345"/>
        <item x="438"/>
        <item x="493"/>
        <item x="511"/>
        <item x="551"/>
        <item x="189"/>
        <item x="528"/>
        <item x="552"/>
        <item x="486"/>
        <item x="194"/>
        <item x="502"/>
        <item x="453"/>
        <item x="258"/>
        <item x="221"/>
        <item x="504"/>
        <item x="34"/>
        <item x="91"/>
        <item x="310"/>
        <item x="237"/>
        <item x="525"/>
        <item x="539"/>
        <item x="69"/>
        <item x="62"/>
        <item x="18"/>
        <item x="314"/>
        <item x="546"/>
        <item x="138"/>
        <item x="357"/>
        <item x="290"/>
        <item x="384"/>
        <item x="545"/>
        <item x="360"/>
        <item x="474"/>
        <item x="193"/>
        <item x="151"/>
        <item x="115"/>
        <item x="61"/>
        <item x="520"/>
        <item x="183"/>
        <item x="368"/>
        <item x="203"/>
        <item x="104"/>
        <item x="243"/>
        <item x="80"/>
        <item x="300"/>
        <item x="304"/>
        <item x="122"/>
        <item x="55"/>
        <item x="288"/>
        <item x="527"/>
        <item x="200"/>
        <item x="181"/>
        <item x="375"/>
        <item x="191"/>
        <item x="82"/>
        <item x="444"/>
        <item x="154"/>
        <item x="149"/>
        <item x="103"/>
        <item x="142"/>
        <item x="161"/>
        <item x="105"/>
        <item x="524"/>
        <item x="321"/>
        <item x="96"/>
        <item x="410"/>
        <item x="461"/>
        <item x="323"/>
        <item x="475"/>
        <item x="352"/>
        <item x="470"/>
        <item x="440"/>
        <item x="39"/>
        <item x="379"/>
        <item x="4"/>
        <item x="110"/>
        <item x="413"/>
        <item x="490"/>
        <item x="555"/>
        <item x="547"/>
        <item x="16"/>
        <item x="21"/>
        <item x="514"/>
        <item x="31"/>
        <item x="536"/>
        <item x="26"/>
        <item x="401"/>
        <item x="125"/>
        <item x="244"/>
        <item x="394"/>
        <item x="306"/>
        <item x="124"/>
        <item x="15"/>
        <item x="58"/>
        <item x="17"/>
        <item x="24"/>
        <item x="114"/>
        <item x="329"/>
        <item x="313"/>
        <item x="462"/>
        <item x="324"/>
        <item x="141"/>
        <item x="71"/>
        <item x="11"/>
        <item x="118"/>
        <item x="512"/>
        <item x="236"/>
        <item x="386"/>
        <item x="215"/>
        <item x="225"/>
        <item x="211"/>
        <item x="340"/>
        <item x="173"/>
        <item x="485"/>
        <item x="257"/>
        <item x="255"/>
        <item x="296"/>
        <item x="434"/>
        <item x="3"/>
        <item x="315"/>
        <item x="418"/>
        <item x="515"/>
        <item x="204"/>
        <item x="293"/>
        <item x="416"/>
        <item x="8"/>
        <item x="12"/>
        <item x="229"/>
        <item x="344"/>
        <item x="165"/>
        <item x="393"/>
        <item x="273"/>
        <item x="358"/>
        <item x="97"/>
        <item x="27"/>
        <item x="534"/>
        <item x="268"/>
        <item x="388"/>
        <item x="57"/>
        <item x="330"/>
        <item x="488"/>
        <item x="482"/>
        <item x="487"/>
        <item x="421"/>
        <item x="286"/>
        <item x="128"/>
        <item x="267"/>
        <item x="498"/>
        <item x="464"/>
        <item x="143"/>
        <item x="197"/>
        <item x="272"/>
        <item x="449"/>
        <item x="113"/>
        <item x="383"/>
        <item x="250"/>
        <item x="20"/>
        <item x="341"/>
        <item x="381"/>
        <item x="402"/>
        <item x="6"/>
        <item x="480"/>
        <item x="241"/>
        <item x="278"/>
        <item x="79"/>
        <item x="499"/>
        <item x="328"/>
        <item x="481"/>
        <item x="496"/>
        <item x="98"/>
        <item x="234"/>
        <item x="107"/>
        <item x="95"/>
        <item x="81"/>
        <item x="372"/>
        <item x="400"/>
        <item x="348"/>
        <item x="159"/>
        <item x="144"/>
        <item x="309"/>
        <item x="168"/>
        <item x="190"/>
        <item x="316"/>
        <item x="429"/>
        <item x="398"/>
        <item x="169"/>
        <item x="471"/>
        <item x="60"/>
        <item x="500"/>
        <item x="332"/>
        <item x="454"/>
        <item x="50"/>
        <item x="65"/>
        <item x="135"/>
        <item x="230"/>
        <item x="38"/>
        <item x="274"/>
        <item x="456"/>
        <item x="428"/>
        <item x="127"/>
        <item x="450"/>
        <item x="406"/>
        <item x="468"/>
        <item x="171"/>
        <item x="446"/>
        <item x="549"/>
        <item x="439"/>
        <item x="359"/>
        <item x="355"/>
        <item x="133"/>
        <item x="283"/>
        <item x="353"/>
        <item x="338"/>
        <item x="458"/>
        <item x="49"/>
        <item x="436"/>
        <item x="302"/>
        <item x="90"/>
        <item x="542"/>
        <item x="208"/>
        <item x="431"/>
        <item x="46"/>
        <item x="501"/>
        <item x="166"/>
        <item x="163"/>
        <item x="52"/>
        <item x="326"/>
        <item x="425"/>
        <item x="72"/>
        <item x="201"/>
        <item x="298"/>
        <item x="45"/>
        <item x="63"/>
        <item x="544"/>
        <item x="112"/>
        <item x="214"/>
        <item x="175"/>
        <item x="391"/>
        <item x="289"/>
        <item x="467"/>
        <item x="235"/>
        <item x="469"/>
        <item x="373"/>
        <item x="506"/>
        <item x="342"/>
        <item x="339"/>
        <item x="209"/>
        <item x="42"/>
        <item x="325"/>
        <item x="0"/>
        <item x="213"/>
        <item x="170"/>
        <item x="441"/>
        <item x="351"/>
        <item x="187"/>
        <item x="489"/>
        <item x="311"/>
        <item x="371"/>
        <item x="75"/>
        <item x="443"/>
        <item x="245"/>
        <item x="531"/>
        <item x="10"/>
        <item x="291"/>
        <item x="447"/>
        <item x="380"/>
        <item x="334"/>
        <item x="262"/>
        <item x="519"/>
        <item x="364"/>
        <item x="497"/>
        <item x="94"/>
        <item x="67"/>
        <item x="130"/>
        <item x="508"/>
        <item x="433"/>
        <item x="399"/>
        <item x="205"/>
        <item x="56"/>
        <item x="420"/>
        <item x="111"/>
        <item x="121"/>
        <item x="347"/>
        <item x="219"/>
        <item x="408"/>
        <item x="530"/>
        <item x="473"/>
        <item x="40"/>
        <item x="337"/>
        <item x="403"/>
        <item x="465"/>
        <item x="251"/>
        <item x="333"/>
        <item x="83"/>
        <item x="463"/>
        <item x="430"/>
        <item x="86"/>
        <item x="263"/>
        <item x="369"/>
        <item x="363"/>
        <item x="167"/>
        <item x="158"/>
        <item x="41"/>
        <item x="419"/>
        <item x="228"/>
        <item x="376"/>
        <item x="68"/>
        <item x="477"/>
        <item x="7"/>
        <item x="77"/>
        <item x="483"/>
        <item x="460"/>
        <item x="116"/>
        <item x="137"/>
        <item x="5"/>
        <item x="25"/>
        <item x="93"/>
        <item x="117"/>
        <item x="269"/>
        <item x="492"/>
        <item x="180"/>
        <item x="222"/>
        <item x="233"/>
        <item x="435"/>
        <item x="277"/>
        <item x="29"/>
        <item x="19"/>
        <item x="198"/>
        <item x="354"/>
        <item x="248"/>
        <item x="178"/>
        <item x="249"/>
        <item x="260"/>
        <item x="550"/>
        <item x="156"/>
        <item x="218"/>
        <item x="212"/>
        <item x="247"/>
        <item x="108"/>
        <item x="216"/>
        <item x="210"/>
        <item x="271"/>
        <item x="466"/>
        <item x="184"/>
        <item x="242"/>
        <item x="254"/>
        <item x="92"/>
        <item x="432"/>
        <item x="331"/>
        <item x="179"/>
        <item x="119"/>
        <item x="507"/>
        <item x="307"/>
        <item x="318"/>
        <item x="397"/>
        <item x="196"/>
        <item x="553"/>
        <item x="66"/>
        <item x="188"/>
        <item x="54"/>
        <item x="157"/>
        <item x="517"/>
        <item x="390"/>
        <item x="101"/>
        <item x="516"/>
        <item x="297"/>
        <item x="529"/>
        <item x="294"/>
        <item x="495"/>
        <item x="404"/>
        <item x="59"/>
        <item x="414"/>
        <item x="182"/>
        <item x="160"/>
        <item x="185"/>
        <item x="207"/>
        <item x="109"/>
        <item x="356"/>
        <item x="220"/>
        <item x="505"/>
        <item x="312"/>
        <item x="385"/>
        <item x="261"/>
        <item x="445"/>
        <item x="335"/>
        <item x="238"/>
        <item x="377"/>
        <item x="155"/>
        <item x="35"/>
        <item x="227"/>
        <item x="301"/>
        <item x="88"/>
        <item x="153"/>
        <item x="48"/>
        <item x="148"/>
        <item x="533"/>
        <item x="367"/>
        <item x="136"/>
        <item x="317"/>
        <item x="246"/>
        <item x="370"/>
        <item x="2"/>
        <item x="126"/>
        <item x="240"/>
        <item x="518"/>
        <item x="51"/>
        <item x="174"/>
        <item x="282"/>
        <item x="459"/>
        <item x="85"/>
        <item x="336"/>
        <item x="478"/>
        <item x="232"/>
        <item x="535"/>
        <item x="396"/>
        <item x="217"/>
        <item x="415"/>
        <item x="412"/>
        <item x="23"/>
        <item x="176"/>
        <item x="327"/>
        <item x="395"/>
        <item x="150"/>
        <item x="543"/>
        <item x="253"/>
        <item x="538"/>
        <item x="140"/>
        <item x="554"/>
        <item x="131"/>
        <item x="422"/>
        <item x="1"/>
        <item x="451"/>
        <item x="491"/>
        <item x="146"/>
        <item x="426"/>
        <item x="374"/>
        <item x="405"/>
        <item x="70"/>
        <item x="320"/>
        <item x="120"/>
        <item x="541"/>
        <item x="343"/>
        <item x="452"/>
        <item x="43"/>
        <item x="47"/>
        <item x="172"/>
        <item x="275"/>
        <item x="99"/>
        <item x="152"/>
        <item x="139"/>
        <item x="378"/>
        <item x="87"/>
        <item x="64"/>
        <item x="526"/>
        <item x="134"/>
        <item x="147"/>
        <item x="423"/>
        <item x="102"/>
        <item x="76"/>
        <item x="13"/>
        <item x="366"/>
        <item x="195"/>
        <item x="417"/>
        <item x="264"/>
        <item x="32"/>
        <item x="192"/>
        <item x="259"/>
        <item x="532"/>
        <item x="206"/>
        <item x="305"/>
        <item x="362"/>
        <item x="448"/>
        <item x="100"/>
        <item x="226"/>
        <item x="522"/>
        <item x="252"/>
        <item x="284"/>
        <item x="303"/>
        <item x="84"/>
        <item x="503"/>
        <item x="33"/>
        <item x="28"/>
        <item x="424"/>
        <item x="44"/>
        <item x="513"/>
        <item x="123"/>
        <item x="548"/>
        <item x="523"/>
        <item x="319"/>
        <item t="default"/>
      </items>
    </pivotField>
    <pivotField numFmtId="14" showAll="0"/>
    <pivotField showAll="0"/>
    <pivotField showAll="0"/>
    <pivotField showAll="0">
      <items count="4">
        <item x="0"/>
        <item x="2"/>
        <item x="1"/>
        <item t="default"/>
      </items>
    </pivotField>
    <pivotField showAll="0"/>
    <pivotField showAll="0"/>
    <pivotField showAll="0">
      <items count="5">
        <item x="3"/>
        <item x="1"/>
        <item x="2"/>
        <item x="0"/>
        <item t="default"/>
      </items>
    </pivotField>
    <pivotField showAll="0">
      <items count="4">
        <item x="1"/>
        <item x="2"/>
        <item x="0"/>
        <item t="default"/>
      </items>
    </pivotField>
    <pivotField showAll="0"/>
    <pivotField showAll="0"/>
    <pivotField numFmtId="164" showAll="0"/>
    <pivotField showAll="0"/>
    <pivotField numFmtId="9" showAll="0"/>
    <pivotField dataField="1" numFmtId="164" showAll="0"/>
    <pivotField showAll="0">
      <items count="9">
        <item x="5"/>
        <item x="6"/>
        <item x="0"/>
        <item x="7"/>
        <item x="1"/>
        <item x="3"/>
        <item x="4"/>
        <item x="2"/>
        <item t="default"/>
      </items>
    </pivotField>
    <pivotField showAll="0">
      <items count="5">
        <item x="3"/>
        <item x="0"/>
        <item x="1"/>
        <item x="2"/>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Total profit" fld="1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9EC02C9-E3FB-4F3E-97F8-06E741CF757F}" sourceName="Segment">
  <pivotTables>
    <pivotTable tabId="2" name="PivotTable9"/>
    <pivotTable tabId="2" name="PivotTable1"/>
    <pivotTable tabId="2" name="PivotTable10"/>
    <pivotTable tabId="2" name="PivotTable12"/>
    <pivotTable tabId="2" name="PivotTable3"/>
    <pivotTable tabId="2" name="PivotTable4"/>
    <pivotTable tabId="2" name="PivotTable5"/>
    <pivotTable tabId="2" name="PivotTable6"/>
    <pivotTable tabId="2" name="PivotTable7"/>
    <pivotTable tabId="2" name="PivotTable8"/>
    <pivotTable tabId="2" name="PivotTable2"/>
    <pivotTable tabId="2" name="PivotTable15"/>
    <pivotTable tabId="2" name="PivotTable16"/>
  </pivotTables>
  <data>
    <tabular pivotCacheId="1869743498">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6D028D4-38F9-49D9-BC65-FE9108958CD3}" sourceName="Category">
  <pivotTables>
    <pivotTable tabId="2" name="PivotTable7"/>
    <pivotTable tabId="2" name="PivotTable1"/>
    <pivotTable tabId="2" name="PivotTable10"/>
    <pivotTable tabId="2" name="PivotTable12"/>
    <pivotTable tabId="2" name="PivotTable3"/>
    <pivotTable tabId="2" name="PivotTable4"/>
    <pivotTable tabId="2" name="PivotTable5"/>
    <pivotTable tabId="2" name="PivotTable6"/>
    <pivotTable tabId="2" name="PivotTable8"/>
    <pivotTable tabId="2" name="PivotTable9"/>
    <pivotTable tabId="2" name="PivotTable2"/>
    <pivotTable tabId="2" name="PivotTable15"/>
    <pivotTable tabId="2" name="PivotTable16"/>
  </pivotTables>
  <data>
    <tabular pivotCacheId="1869743498">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45F183FF-3425-4F69-8386-E69AC2C06780}" sourceName="Ship Mode">
  <pivotTables>
    <pivotTable tabId="2" name="PivotTable7"/>
    <pivotTable tabId="2" name="PivotTable1"/>
    <pivotTable tabId="2" name="PivotTable10"/>
    <pivotTable tabId="2" name="PivotTable12"/>
    <pivotTable tabId="2" name="PivotTable3"/>
    <pivotTable tabId="2" name="PivotTable4"/>
    <pivotTable tabId="2" name="PivotTable5"/>
    <pivotTable tabId="2" name="PivotTable6"/>
    <pivotTable tabId="2" name="PivotTable8"/>
    <pivotTable tabId="2" name="PivotTable9"/>
    <pivotTable tabId="2" name="PivotTable2"/>
    <pivotTable tabId="2" name="PivotTable15"/>
    <pivotTable tabId="2" name="PivotTable16"/>
  </pivotTables>
  <data>
    <tabular pivotCacheId="1869743498">
      <items count="4">
        <i x="3"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96483F58-0054-48F4-8609-58C014D9E996}" sourceName="Salesperson">
  <pivotTables>
    <pivotTable tabId="2" name="PivotTable7"/>
    <pivotTable tabId="2" name="PivotTable1"/>
    <pivotTable tabId="2" name="PivotTable10"/>
    <pivotTable tabId="2" name="PivotTable12"/>
    <pivotTable tabId="2" name="PivotTable3"/>
    <pivotTable tabId="2" name="PivotTable4"/>
    <pivotTable tabId="2" name="PivotTable5"/>
    <pivotTable tabId="2" name="PivotTable6"/>
    <pivotTable tabId="2" name="PivotTable8"/>
    <pivotTable tabId="2" name="PivotTable9"/>
    <pivotTable tabId="2" name="PivotTable2"/>
    <pivotTable tabId="2" name="PivotTable15"/>
    <pivotTable tabId="2" name="PivotTable16"/>
  </pivotTables>
  <data>
    <tabular pivotCacheId="1869743498">
      <items count="8">
        <i x="5" s="1"/>
        <i x="6" s="1"/>
        <i x="0" s="1"/>
        <i x="7" s="1"/>
        <i x="1" s="1"/>
        <i x="3" s="1"/>
        <i x="4"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9C84A68-E3E5-463A-8BF6-26F76F358591}" sourceName="Region">
  <pivotTables>
    <pivotTable tabId="2" name="PivotTable6"/>
    <pivotTable tabId="2" name="PivotTable1"/>
    <pivotTable tabId="2" name="PivotTable10"/>
    <pivotTable tabId="2" name="PivotTable12"/>
    <pivotTable tabId="2" name="PivotTable3"/>
    <pivotTable tabId="2" name="PivotTable4"/>
    <pivotTable tabId="2" name="PivotTable5"/>
    <pivotTable tabId="2" name="PivotTable7"/>
    <pivotTable tabId="2" name="PivotTable8"/>
    <pivotTable tabId="2" name="PivotTable9"/>
    <pivotTable tabId="2" name="PivotTable2"/>
    <pivotTable tabId="2" name="PivotTable15"/>
    <pivotTable tabId="2" name="PivotTable16"/>
  </pivotTables>
  <data>
    <tabular pivotCacheId="1869743498">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A35E7890-5F21-49C8-9DB6-BBAF96640CBC}" cache="Slicer_Segment" caption="Segment" columnCount="2" style="SlicerStyleDark1" rowHeight="234950"/>
  <slicer name="Category" xr10:uid="{6F4C01EB-8CC4-4866-B40B-3497A3243096}" cache="Slicer_Category" caption="Category" columnCount="2" style="SlicerStyleDark1" rowHeight="234950"/>
  <slicer name="Ship Mode" xr10:uid="{DD49B595-F8B2-4646-B61C-CE57A6F69B5B}" cache="Slicer_Ship_Mode" caption="Ship Mode" columnCount="2" style="SlicerStyleDark1" rowHeight="234950"/>
  <slicer name="Salesperson" xr10:uid="{6ED2583A-EF36-4DCC-9DA8-076418ECFC4B}" cache="Slicer_Salesperson" caption="Salesperson" style="SlicerStyleDark1" rowHeight="234950"/>
  <slicer name="Region" xr10:uid="{EF6ECB87-AB83-4E85-9119-59624C22679B}" cache="Slicer_Region" caption="Region" columnCount="2" style="SlicerStyleDark1"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86A00F-244F-4AF3-8899-2473A8E0F713}" name="Table1" displayName="Table1" ref="A1:R1001" totalsRowShown="0">
  <autoFilter ref="A1:R1001" xr:uid="{F486A00F-244F-4AF3-8899-2473A8E0F713}"/>
  <tableColumns count="18">
    <tableColumn id="1" xr3:uid="{0DBE57E7-C6CB-47D0-B01C-DCB432E43241}" name="Order ID"/>
    <tableColumn id="2" xr3:uid="{8EF5E9AD-B9CE-4D86-B728-2B40BB2D8866}" name="Order Date" dataDxfId="6"/>
    <tableColumn id="3" xr3:uid="{D581BF2B-D519-4CEA-8CEA-4D8DC90BBF28}" name="Ship Date" dataDxfId="5"/>
    <tableColumn id="4" xr3:uid="{83B20722-B1A0-4152-A769-E663D3FDB954}" name="Customer ID"/>
    <tableColumn id="5" xr3:uid="{0DF31DF6-F5E9-44C3-8A54-3B13B8D53BF3}" name="Customer Name"/>
    <tableColumn id="6" xr3:uid="{185EE60A-5635-4F83-9FA6-29EE30EEF0EB}" name="Segment"/>
    <tableColumn id="7" xr3:uid="{5AAA863C-3EB1-4C35-9918-2C9257157AF1}" name="City"/>
    <tableColumn id="8" xr3:uid="{98B361B5-1576-4BB9-99CB-45D53AFD3A66}" name="State"/>
    <tableColumn id="9" xr3:uid="{4D043F1F-7CF8-4824-96BD-E16D62281FDA}" name="Region"/>
    <tableColumn id="10" xr3:uid="{25D3C01E-23ED-43B9-9F09-0EF4F00FE7CF}" name="Category"/>
    <tableColumn id="11" xr3:uid="{34BEFE1C-44ED-4685-824D-ECF79327ABB1}" name="Sub-Category"/>
    <tableColumn id="12" xr3:uid="{20801410-C536-48E2-9DD2-A51AD5B537AA}" name="Product Name"/>
    <tableColumn id="13" xr3:uid="{3F6CE2FB-6384-481C-9092-0882D38C0CF3}" name="Sales" dataDxfId="4"/>
    <tableColumn id="14" xr3:uid="{E1386785-0884-4114-B115-89E8086E3524}" name="Quantity"/>
    <tableColumn id="15" xr3:uid="{8211C29F-9E32-4E2F-B31C-2BD0FED05251}" name="Discount" dataDxfId="3"/>
    <tableColumn id="16" xr3:uid="{71A0CE7B-7612-40F9-83BC-EEABF5756485}" name="Profit" dataDxfId="2"/>
    <tableColumn id="17" xr3:uid="{E3F755BA-DFD4-494E-BFCF-7C00C8D1FBB3}" name="Salesperson"/>
    <tableColumn id="18" xr3:uid="{AF7A94DD-5D2B-455A-A8B6-0D4F354E5F20}" name="Ship Mod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1"/>
  <sheetViews>
    <sheetView zoomScale="55" zoomScaleNormal="55" workbookViewId="0">
      <selection activeCell="O2" sqref="O2:O1001"/>
    </sheetView>
  </sheetViews>
  <sheetFormatPr defaultRowHeight="14.4" x14ac:dyDescent="0.3"/>
  <cols>
    <col min="1" max="1" width="11.109375" bestFit="1" customWidth="1"/>
    <col min="2" max="2" width="13.44140625" style="3" bestFit="1" customWidth="1"/>
    <col min="3" max="3" width="12.109375" style="3" bestFit="1" customWidth="1"/>
    <col min="4" max="4" width="14.33203125" bestFit="1" customWidth="1"/>
    <col min="5" max="5" width="17.88671875" bestFit="1" customWidth="1"/>
    <col min="6" max="6" width="11.6640625" bestFit="1" customWidth="1"/>
    <col min="7" max="7" width="12.44140625" bestFit="1" customWidth="1"/>
    <col min="8" max="8" width="12.5546875" bestFit="1" customWidth="1"/>
    <col min="9" max="9" width="9.6640625" bestFit="1" customWidth="1"/>
    <col min="10" max="10" width="13.88671875" bestFit="1" customWidth="1"/>
    <col min="11" max="11" width="15.5546875" bestFit="1" customWidth="1"/>
    <col min="12" max="12" width="18.77734375" bestFit="1" customWidth="1"/>
    <col min="13" max="13" width="10.77734375" style="1" bestFit="1" customWidth="1"/>
    <col min="14" max="14" width="11.44140625" bestFit="1" customWidth="1"/>
    <col min="15" max="15" width="11.33203125" style="2" bestFit="1" customWidth="1"/>
    <col min="16" max="16" width="9.21875" bestFit="1" customWidth="1"/>
    <col min="17" max="17" width="14.109375" bestFit="1" customWidth="1"/>
    <col min="18" max="18" width="13.5546875" bestFit="1" customWidth="1"/>
  </cols>
  <sheetData>
    <row r="1" spans="1:18" x14ac:dyDescent="0.3">
      <c r="A1" t="s">
        <v>0</v>
      </c>
      <c r="B1" s="3" t="s">
        <v>1</v>
      </c>
      <c r="C1" s="3" t="s">
        <v>2</v>
      </c>
      <c r="D1" t="s">
        <v>3</v>
      </c>
      <c r="E1" t="s">
        <v>4</v>
      </c>
      <c r="F1" t="s">
        <v>5</v>
      </c>
      <c r="G1" t="s">
        <v>6</v>
      </c>
      <c r="H1" t="s">
        <v>7</v>
      </c>
      <c r="I1" t="s">
        <v>8</v>
      </c>
      <c r="J1" t="s">
        <v>9</v>
      </c>
      <c r="K1" t="s">
        <v>10</v>
      </c>
      <c r="L1" t="s">
        <v>11</v>
      </c>
      <c r="M1" s="1" t="s">
        <v>12</v>
      </c>
      <c r="N1" t="s">
        <v>13</v>
      </c>
      <c r="O1" s="2" t="s">
        <v>14</v>
      </c>
      <c r="P1" s="1" t="s">
        <v>15</v>
      </c>
      <c r="Q1" t="s">
        <v>16</v>
      </c>
      <c r="R1" t="s">
        <v>17</v>
      </c>
    </row>
    <row r="2" spans="1:18" x14ac:dyDescent="0.3">
      <c r="A2">
        <v>1001</v>
      </c>
      <c r="B2" s="3">
        <v>45718</v>
      </c>
      <c r="C2" s="3">
        <v>45720</v>
      </c>
      <c r="D2" t="s">
        <v>18</v>
      </c>
      <c r="E2" t="s">
        <v>19</v>
      </c>
      <c r="F2" t="s">
        <v>20</v>
      </c>
      <c r="G2" t="s">
        <v>21</v>
      </c>
      <c r="H2" t="s">
        <v>22</v>
      </c>
      <c r="I2" t="s">
        <v>23</v>
      </c>
      <c r="J2" t="s">
        <v>24</v>
      </c>
      <c r="K2" t="s">
        <v>25</v>
      </c>
      <c r="L2" t="s">
        <v>26</v>
      </c>
      <c r="M2" s="1">
        <v>1698.61</v>
      </c>
      <c r="N2">
        <v>5</v>
      </c>
      <c r="O2" s="2">
        <v>0.25</v>
      </c>
      <c r="P2" s="1">
        <v>225.17</v>
      </c>
      <c r="Q2" t="s">
        <v>27</v>
      </c>
      <c r="R2" t="s">
        <v>28</v>
      </c>
    </row>
    <row r="3" spans="1:18" x14ac:dyDescent="0.3">
      <c r="A3">
        <v>1002</v>
      </c>
      <c r="B3" s="3">
        <v>45950</v>
      </c>
      <c r="C3" s="3">
        <v>45952</v>
      </c>
      <c r="D3" t="s">
        <v>29</v>
      </c>
      <c r="E3" t="s">
        <v>30</v>
      </c>
      <c r="F3" t="s">
        <v>31</v>
      </c>
      <c r="G3" t="s">
        <v>32</v>
      </c>
      <c r="H3" t="s">
        <v>33</v>
      </c>
      <c r="I3" t="s">
        <v>34</v>
      </c>
      <c r="J3" t="s">
        <v>35</v>
      </c>
      <c r="K3" t="s">
        <v>36</v>
      </c>
      <c r="L3" t="s">
        <v>37</v>
      </c>
      <c r="M3" s="1">
        <v>55644.92</v>
      </c>
      <c r="N3">
        <v>1</v>
      </c>
      <c r="O3" s="2">
        <v>0.05</v>
      </c>
      <c r="P3" s="1">
        <v>8214.42</v>
      </c>
      <c r="Q3" t="s">
        <v>38</v>
      </c>
      <c r="R3" t="s">
        <v>39</v>
      </c>
    </row>
    <row r="4" spans="1:18" x14ac:dyDescent="0.3">
      <c r="A4">
        <v>1003</v>
      </c>
      <c r="B4" s="3">
        <v>45914</v>
      </c>
      <c r="C4" s="3">
        <v>45916</v>
      </c>
      <c r="D4" t="s">
        <v>40</v>
      </c>
      <c r="E4" t="s">
        <v>41</v>
      </c>
      <c r="F4" t="s">
        <v>31</v>
      </c>
      <c r="G4" t="s">
        <v>32</v>
      </c>
      <c r="H4" t="s">
        <v>33</v>
      </c>
      <c r="I4" t="s">
        <v>34</v>
      </c>
      <c r="J4" t="s">
        <v>35</v>
      </c>
      <c r="K4" t="s">
        <v>42</v>
      </c>
      <c r="L4" t="s">
        <v>43</v>
      </c>
      <c r="M4" s="1">
        <v>61955.96</v>
      </c>
      <c r="N4">
        <v>1</v>
      </c>
      <c r="O4" s="2">
        <v>0.3</v>
      </c>
      <c r="P4" s="1">
        <v>450.1</v>
      </c>
      <c r="Q4" t="s">
        <v>38</v>
      </c>
      <c r="R4" t="s">
        <v>28</v>
      </c>
    </row>
    <row r="5" spans="1:18" x14ac:dyDescent="0.3">
      <c r="A5">
        <v>1004</v>
      </c>
      <c r="B5" s="3">
        <v>45549</v>
      </c>
      <c r="C5" s="3">
        <v>45555</v>
      </c>
      <c r="D5" t="s">
        <v>44</v>
      </c>
      <c r="E5" t="s">
        <v>45</v>
      </c>
      <c r="F5" t="s">
        <v>46</v>
      </c>
      <c r="G5" t="s">
        <v>47</v>
      </c>
      <c r="H5" t="s">
        <v>48</v>
      </c>
      <c r="I5" t="s">
        <v>49</v>
      </c>
      <c r="J5" t="s">
        <v>24</v>
      </c>
      <c r="K5" t="s">
        <v>50</v>
      </c>
      <c r="L5" t="s">
        <v>51</v>
      </c>
      <c r="M5" s="1">
        <v>78897.61</v>
      </c>
      <c r="N5">
        <v>3</v>
      </c>
      <c r="O5" s="2">
        <v>0</v>
      </c>
      <c r="P5" s="1">
        <v>6680.93</v>
      </c>
      <c r="Q5" t="s">
        <v>52</v>
      </c>
      <c r="R5" t="s">
        <v>53</v>
      </c>
    </row>
    <row r="6" spans="1:18" x14ac:dyDescent="0.3">
      <c r="A6">
        <v>1005</v>
      </c>
      <c r="B6" s="3">
        <v>45488</v>
      </c>
      <c r="C6" s="3">
        <v>45494</v>
      </c>
      <c r="D6" t="s">
        <v>54</v>
      </c>
      <c r="E6" t="s">
        <v>55</v>
      </c>
      <c r="F6" t="s">
        <v>20</v>
      </c>
      <c r="G6" t="s">
        <v>56</v>
      </c>
      <c r="H6" t="s">
        <v>57</v>
      </c>
      <c r="I6" t="s">
        <v>58</v>
      </c>
      <c r="J6" t="s">
        <v>35</v>
      </c>
      <c r="K6" t="s">
        <v>59</v>
      </c>
      <c r="L6" t="s">
        <v>60</v>
      </c>
      <c r="M6" s="1">
        <v>69042.67</v>
      </c>
      <c r="N6">
        <v>1</v>
      </c>
      <c r="O6" s="2">
        <v>0.2</v>
      </c>
      <c r="P6" s="1">
        <v>2194.35</v>
      </c>
      <c r="Q6" t="s">
        <v>61</v>
      </c>
      <c r="R6" t="s">
        <v>53</v>
      </c>
    </row>
    <row r="7" spans="1:18" x14ac:dyDescent="0.3">
      <c r="A7">
        <v>1006</v>
      </c>
      <c r="B7" s="3">
        <v>45799</v>
      </c>
      <c r="C7" s="3">
        <v>45805</v>
      </c>
      <c r="D7" t="s">
        <v>62</v>
      </c>
      <c r="E7" t="s">
        <v>63</v>
      </c>
      <c r="F7" t="s">
        <v>20</v>
      </c>
      <c r="G7" t="s">
        <v>56</v>
      </c>
      <c r="H7" t="s">
        <v>57</v>
      </c>
      <c r="I7" t="s">
        <v>58</v>
      </c>
      <c r="J7" t="s">
        <v>64</v>
      </c>
      <c r="K7" t="s">
        <v>65</v>
      </c>
      <c r="L7" t="s">
        <v>66</v>
      </c>
      <c r="M7" s="1">
        <v>78218.86</v>
      </c>
      <c r="N7">
        <v>7</v>
      </c>
      <c r="O7" s="2">
        <v>0.25</v>
      </c>
      <c r="P7" s="1">
        <v>14489.86</v>
      </c>
      <c r="Q7" t="s">
        <v>67</v>
      </c>
      <c r="R7" t="s">
        <v>53</v>
      </c>
    </row>
    <row r="8" spans="1:18" x14ac:dyDescent="0.3">
      <c r="A8">
        <v>1007</v>
      </c>
      <c r="B8" s="3">
        <v>45601</v>
      </c>
      <c r="C8" s="3">
        <v>45605</v>
      </c>
      <c r="D8" t="s">
        <v>68</v>
      </c>
      <c r="E8" t="s">
        <v>69</v>
      </c>
      <c r="F8" t="s">
        <v>46</v>
      </c>
      <c r="G8" t="s">
        <v>70</v>
      </c>
      <c r="H8" t="s">
        <v>71</v>
      </c>
      <c r="I8" t="s">
        <v>58</v>
      </c>
      <c r="J8" t="s">
        <v>24</v>
      </c>
      <c r="K8" t="s">
        <v>72</v>
      </c>
      <c r="L8" t="s">
        <v>73</v>
      </c>
      <c r="M8" s="1">
        <v>49173.79</v>
      </c>
      <c r="N8">
        <v>9</v>
      </c>
      <c r="O8" s="2">
        <v>0</v>
      </c>
      <c r="P8" s="1">
        <v>9092.8700000000008</v>
      </c>
      <c r="Q8" t="s">
        <v>74</v>
      </c>
      <c r="R8" t="s">
        <v>28</v>
      </c>
    </row>
    <row r="9" spans="1:18" x14ac:dyDescent="0.3">
      <c r="A9">
        <v>1008</v>
      </c>
      <c r="B9" s="3">
        <v>45791</v>
      </c>
      <c r="C9" s="3">
        <v>45794</v>
      </c>
      <c r="D9" t="s">
        <v>75</v>
      </c>
      <c r="E9" t="s">
        <v>76</v>
      </c>
      <c r="F9" t="s">
        <v>46</v>
      </c>
      <c r="G9" t="s">
        <v>56</v>
      </c>
      <c r="H9" t="s">
        <v>57</v>
      </c>
      <c r="I9" t="s">
        <v>58</v>
      </c>
      <c r="J9" t="s">
        <v>35</v>
      </c>
      <c r="K9" t="s">
        <v>36</v>
      </c>
      <c r="L9" t="s">
        <v>77</v>
      </c>
      <c r="M9" s="1">
        <v>34529.31</v>
      </c>
      <c r="N9">
        <v>3</v>
      </c>
      <c r="O9" s="2">
        <v>0.15</v>
      </c>
      <c r="P9" s="1">
        <v>3373.39</v>
      </c>
      <c r="Q9" t="s">
        <v>27</v>
      </c>
      <c r="R9" t="s">
        <v>28</v>
      </c>
    </row>
    <row r="10" spans="1:18" x14ac:dyDescent="0.3">
      <c r="A10">
        <v>1009</v>
      </c>
      <c r="B10" s="3">
        <v>45556</v>
      </c>
      <c r="C10" s="3">
        <v>45561</v>
      </c>
      <c r="D10" t="s">
        <v>78</v>
      </c>
      <c r="E10" t="s">
        <v>79</v>
      </c>
      <c r="F10" t="s">
        <v>20</v>
      </c>
      <c r="G10" t="s">
        <v>70</v>
      </c>
      <c r="H10" t="s">
        <v>71</v>
      </c>
      <c r="I10" t="s">
        <v>58</v>
      </c>
      <c r="J10" t="s">
        <v>64</v>
      </c>
      <c r="K10" t="s">
        <v>80</v>
      </c>
      <c r="L10" t="s">
        <v>81</v>
      </c>
      <c r="M10" s="1">
        <v>54736.6</v>
      </c>
      <c r="N10">
        <v>4</v>
      </c>
      <c r="O10" s="2">
        <v>0.2</v>
      </c>
      <c r="P10" s="1">
        <v>2551.39</v>
      </c>
      <c r="Q10" t="s">
        <v>82</v>
      </c>
      <c r="R10" t="s">
        <v>39</v>
      </c>
    </row>
    <row r="11" spans="1:18" x14ac:dyDescent="0.3">
      <c r="A11">
        <v>1010</v>
      </c>
      <c r="B11" s="3">
        <v>45293</v>
      </c>
      <c r="C11" s="3">
        <v>45294</v>
      </c>
      <c r="D11" t="s">
        <v>83</v>
      </c>
      <c r="E11" t="s">
        <v>84</v>
      </c>
      <c r="F11" t="s">
        <v>31</v>
      </c>
      <c r="G11" t="s">
        <v>85</v>
      </c>
      <c r="H11" t="s">
        <v>86</v>
      </c>
      <c r="I11" t="s">
        <v>49</v>
      </c>
      <c r="J11" t="s">
        <v>24</v>
      </c>
      <c r="K11" t="s">
        <v>25</v>
      </c>
      <c r="L11" t="s">
        <v>87</v>
      </c>
      <c r="M11" s="1">
        <v>62203.519999999997</v>
      </c>
      <c r="N11">
        <v>5</v>
      </c>
      <c r="O11" s="2">
        <v>0</v>
      </c>
      <c r="P11" s="1">
        <v>9852.32</v>
      </c>
      <c r="Q11" t="s">
        <v>52</v>
      </c>
      <c r="R11" t="s">
        <v>39</v>
      </c>
    </row>
    <row r="12" spans="1:18" x14ac:dyDescent="0.3">
      <c r="A12">
        <v>1011</v>
      </c>
      <c r="B12" s="3">
        <v>45737</v>
      </c>
      <c r="C12" s="3">
        <v>45738</v>
      </c>
      <c r="D12" t="s">
        <v>88</v>
      </c>
      <c r="E12" t="s">
        <v>89</v>
      </c>
      <c r="F12" t="s">
        <v>46</v>
      </c>
      <c r="G12" t="s">
        <v>90</v>
      </c>
      <c r="H12" t="s">
        <v>91</v>
      </c>
      <c r="I12" t="s">
        <v>23</v>
      </c>
      <c r="J12" t="s">
        <v>35</v>
      </c>
      <c r="K12" t="s">
        <v>59</v>
      </c>
      <c r="L12" t="s">
        <v>92</v>
      </c>
      <c r="M12" s="1">
        <v>27155.46</v>
      </c>
      <c r="N12">
        <v>10</v>
      </c>
      <c r="O12" s="2">
        <v>0.05</v>
      </c>
      <c r="P12" s="1">
        <v>2260.5700000000002</v>
      </c>
      <c r="Q12" t="s">
        <v>27</v>
      </c>
      <c r="R12" t="s">
        <v>53</v>
      </c>
    </row>
    <row r="13" spans="1:18" x14ac:dyDescent="0.3">
      <c r="A13">
        <v>1012</v>
      </c>
      <c r="B13" s="3">
        <v>45529</v>
      </c>
      <c r="C13" s="3">
        <v>45532</v>
      </c>
      <c r="D13" t="s">
        <v>93</v>
      </c>
      <c r="E13" t="s">
        <v>94</v>
      </c>
      <c r="F13" t="s">
        <v>31</v>
      </c>
      <c r="G13" t="s">
        <v>95</v>
      </c>
      <c r="H13" t="s">
        <v>22</v>
      </c>
      <c r="I13" t="s">
        <v>23</v>
      </c>
      <c r="J13" t="s">
        <v>24</v>
      </c>
      <c r="K13" t="s">
        <v>25</v>
      </c>
      <c r="L13" t="s">
        <v>96</v>
      </c>
      <c r="M13" s="1">
        <v>35609.980000000003</v>
      </c>
      <c r="N13">
        <v>10</v>
      </c>
      <c r="O13" s="2">
        <v>0.1</v>
      </c>
      <c r="P13" s="1">
        <v>5990.68</v>
      </c>
      <c r="Q13" t="s">
        <v>67</v>
      </c>
      <c r="R13" t="s">
        <v>39</v>
      </c>
    </row>
    <row r="14" spans="1:18" x14ac:dyDescent="0.3">
      <c r="A14">
        <v>1013</v>
      </c>
      <c r="B14" s="3">
        <v>45557</v>
      </c>
      <c r="C14" s="3">
        <v>45563</v>
      </c>
      <c r="D14" t="s">
        <v>97</v>
      </c>
      <c r="E14" t="s">
        <v>98</v>
      </c>
      <c r="F14" t="s">
        <v>20</v>
      </c>
      <c r="G14" t="s">
        <v>90</v>
      </c>
      <c r="H14" t="s">
        <v>91</v>
      </c>
      <c r="I14" t="s">
        <v>23</v>
      </c>
      <c r="J14" t="s">
        <v>24</v>
      </c>
      <c r="K14" t="s">
        <v>72</v>
      </c>
      <c r="L14" t="s">
        <v>99</v>
      </c>
      <c r="M14" s="1">
        <v>83182.09</v>
      </c>
      <c r="N14">
        <v>5</v>
      </c>
      <c r="O14" s="2">
        <v>0.1</v>
      </c>
      <c r="P14" s="1">
        <v>15816.17</v>
      </c>
      <c r="Q14" t="s">
        <v>38</v>
      </c>
      <c r="R14" t="s">
        <v>39</v>
      </c>
    </row>
    <row r="15" spans="1:18" x14ac:dyDescent="0.3">
      <c r="A15">
        <v>1014</v>
      </c>
      <c r="B15" s="3">
        <v>45989</v>
      </c>
      <c r="C15" s="3">
        <v>45990</v>
      </c>
      <c r="D15" t="s">
        <v>100</v>
      </c>
      <c r="E15" t="s">
        <v>101</v>
      </c>
      <c r="F15" t="s">
        <v>20</v>
      </c>
      <c r="G15" t="s">
        <v>102</v>
      </c>
      <c r="H15" t="s">
        <v>103</v>
      </c>
      <c r="I15" t="s">
        <v>58</v>
      </c>
      <c r="J15" t="s">
        <v>64</v>
      </c>
      <c r="K15" t="s">
        <v>104</v>
      </c>
      <c r="L15" t="s">
        <v>105</v>
      </c>
      <c r="M15" s="1">
        <v>11853.91</v>
      </c>
      <c r="N15">
        <v>3</v>
      </c>
      <c r="O15" s="2">
        <v>0.3</v>
      </c>
      <c r="P15" s="1">
        <v>2082.89</v>
      </c>
      <c r="Q15" t="s">
        <v>27</v>
      </c>
      <c r="R15" t="s">
        <v>39</v>
      </c>
    </row>
    <row r="16" spans="1:18" x14ac:dyDescent="0.3">
      <c r="A16">
        <v>1015</v>
      </c>
      <c r="B16" s="3">
        <v>45310</v>
      </c>
      <c r="C16" s="3">
        <v>45314</v>
      </c>
      <c r="D16" t="s">
        <v>83</v>
      </c>
      <c r="E16" t="s">
        <v>106</v>
      </c>
      <c r="F16" t="s">
        <v>31</v>
      </c>
      <c r="G16" t="s">
        <v>107</v>
      </c>
      <c r="H16" t="s">
        <v>108</v>
      </c>
      <c r="I16" t="s">
        <v>34</v>
      </c>
      <c r="J16" t="s">
        <v>24</v>
      </c>
      <c r="K16" t="s">
        <v>25</v>
      </c>
      <c r="L16" t="s">
        <v>109</v>
      </c>
      <c r="M16" s="1">
        <v>26552.97</v>
      </c>
      <c r="N16">
        <v>4</v>
      </c>
      <c r="O16" s="2">
        <v>0.05</v>
      </c>
      <c r="P16" s="1">
        <v>6595.25</v>
      </c>
      <c r="Q16" t="s">
        <v>61</v>
      </c>
      <c r="R16" t="s">
        <v>39</v>
      </c>
    </row>
    <row r="17" spans="1:18" x14ac:dyDescent="0.3">
      <c r="A17">
        <v>1016</v>
      </c>
      <c r="B17" s="3">
        <v>45515</v>
      </c>
      <c r="C17" s="3">
        <v>45521</v>
      </c>
      <c r="D17" t="s">
        <v>110</v>
      </c>
      <c r="E17" t="s">
        <v>111</v>
      </c>
      <c r="F17" t="s">
        <v>46</v>
      </c>
      <c r="G17" t="s">
        <v>112</v>
      </c>
      <c r="H17" t="s">
        <v>113</v>
      </c>
      <c r="I17" t="s">
        <v>49</v>
      </c>
      <c r="J17" t="s">
        <v>35</v>
      </c>
      <c r="K17" t="s">
        <v>36</v>
      </c>
      <c r="L17" t="s">
        <v>114</v>
      </c>
      <c r="M17" s="1">
        <v>29017.51</v>
      </c>
      <c r="N17">
        <v>1</v>
      </c>
      <c r="O17" s="2">
        <v>0.15</v>
      </c>
      <c r="P17" s="1">
        <v>4748.43</v>
      </c>
      <c r="Q17" t="s">
        <v>115</v>
      </c>
      <c r="R17" t="s">
        <v>28</v>
      </c>
    </row>
    <row r="18" spans="1:18" x14ac:dyDescent="0.3">
      <c r="A18">
        <v>1017</v>
      </c>
      <c r="B18" s="3">
        <v>45497</v>
      </c>
      <c r="C18" s="3">
        <v>45500</v>
      </c>
      <c r="D18" t="s">
        <v>116</v>
      </c>
      <c r="E18" t="s">
        <v>117</v>
      </c>
      <c r="F18" t="s">
        <v>46</v>
      </c>
      <c r="G18" t="s">
        <v>118</v>
      </c>
      <c r="H18" t="s">
        <v>118</v>
      </c>
      <c r="I18" t="s">
        <v>34</v>
      </c>
      <c r="J18" t="s">
        <v>64</v>
      </c>
      <c r="K18" t="s">
        <v>80</v>
      </c>
      <c r="L18" t="s">
        <v>119</v>
      </c>
      <c r="M18" s="1">
        <v>37046.29</v>
      </c>
      <c r="N18">
        <v>8</v>
      </c>
      <c r="O18" s="2">
        <v>0.05</v>
      </c>
      <c r="P18" s="1">
        <v>5104.2</v>
      </c>
      <c r="Q18" t="s">
        <v>38</v>
      </c>
      <c r="R18" t="s">
        <v>120</v>
      </c>
    </row>
    <row r="19" spans="1:18" x14ac:dyDescent="0.3">
      <c r="A19">
        <v>1018</v>
      </c>
      <c r="B19" s="3">
        <v>45718</v>
      </c>
      <c r="C19" s="3">
        <v>45724</v>
      </c>
      <c r="D19" t="s">
        <v>121</v>
      </c>
      <c r="E19" t="s">
        <v>122</v>
      </c>
      <c r="F19" t="s">
        <v>31</v>
      </c>
      <c r="G19" t="s">
        <v>21</v>
      </c>
      <c r="H19" t="s">
        <v>22</v>
      </c>
      <c r="I19" t="s">
        <v>23</v>
      </c>
      <c r="J19" t="s">
        <v>64</v>
      </c>
      <c r="K19" t="s">
        <v>104</v>
      </c>
      <c r="L19" t="s">
        <v>123</v>
      </c>
      <c r="M19" s="1">
        <v>3407.63</v>
      </c>
      <c r="N19">
        <v>3</v>
      </c>
      <c r="O19" s="2">
        <v>0.3</v>
      </c>
      <c r="P19" s="1">
        <v>258.88</v>
      </c>
      <c r="Q19" t="s">
        <v>61</v>
      </c>
      <c r="R19" t="s">
        <v>53</v>
      </c>
    </row>
    <row r="20" spans="1:18" x14ac:dyDescent="0.3">
      <c r="A20">
        <v>1019</v>
      </c>
      <c r="B20" s="3">
        <v>45517</v>
      </c>
      <c r="C20" s="3">
        <v>45520</v>
      </c>
      <c r="D20" t="s">
        <v>124</v>
      </c>
      <c r="E20" t="s">
        <v>125</v>
      </c>
      <c r="F20" t="s">
        <v>46</v>
      </c>
      <c r="G20" t="s">
        <v>95</v>
      </c>
      <c r="H20" t="s">
        <v>22</v>
      </c>
      <c r="I20" t="s">
        <v>23</v>
      </c>
      <c r="J20" t="s">
        <v>35</v>
      </c>
      <c r="K20" t="s">
        <v>59</v>
      </c>
      <c r="L20" t="s">
        <v>126</v>
      </c>
      <c r="M20" s="1">
        <v>82387.22</v>
      </c>
      <c r="N20">
        <v>4</v>
      </c>
      <c r="O20" s="2">
        <v>0.05</v>
      </c>
      <c r="P20" s="1">
        <v>5509.05</v>
      </c>
      <c r="Q20" t="s">
        <v>74</v>
      </c>
      <c r="R20" t="s">
        <v>28</v>
      </c>
    </row>
    <row r="21" spans="1:18" x14ac:dyDescent="0.3">
      <c r="A21">
        <v>1020</v>
      </c>
      <c r="B21" s="3">
        <v>45414</v>
      </c>
      <c r="C21" s="3">
        <v>45419</v>
      </c>
      <c r="D21" t="s">
        <v>127</v>
      </c>
      <c r="E21" t="s">
        <v>128</v>
      </c>
      <c r="F21" t="s">
        <v>46</v>
      </c>
      <c r="G21" t="s">
        <v>32</v>
      </c>
      <c r="H21" t="s">
        <v>33</v>
      </c>
      <c r="I21" t="s">
        <v>34</v>
      </c>
      <c r="J21" t="s">
        <v>35</v>
      </c>
      <c r="K21" t="s">
        <v>129</v>
      </c>
      <c r="L21" t="s">
        <v>130</v>
      </c>
      <c r="M21" s="1">
        <v>56019.4</v>
      </c>
      <c r="N21">
        <v>4</v>
      </c>
      <c r="O21" s="2">
        <v>0.15</v>
      </c>
      <c r="P21" s="1">
        <v>8328.35</v>
      </c>
      <c r="Q21" t="s">
        <v>74</v>
      </c>
      <c r="R21" t="s">
        <v>53</v>
      </c>
    </row>
    <row r="22" spans="1:18" x14ac:dyDescent="0.3">
      <c r="A22">
        <v>1021</v>
      </c>
      <c r="B22" s="3">
        <v>45814</v>
      </c>
      <c r="C22" s="3">
        <v>45818</v>
      </c>
      <c r="D22" t="s">
        <v>131</v>
      </c>
      <c r="E22" t="s">
        <v>132</v>
      </c>
      <c r="F22" t="s">
        <v>20</v>
      </c>
      <c r="G22" t="s">
        <v>95</v>
      </c>
      <c r="H22" t="s">
        <v>22</v>
      </c>
      <c r="I22" t="s">
        <v>23</v>
      </c>
      <c r="J22" t="s">
        <v>35</v>
      </c>
      <c r="K22" t="s">
        <v>129</v>
      </c>
      <c r="L22" t="s">
        <v>133</v>
      </c>
      <c r="M22" s="1">
        <v>57814.98</v>
      </c>
      <c r="N22">
        <v>10</v>
      </c>
      <c r="O22" s="2">
        <v>0.15</v>
      </c>
      <c r="P22" s="1">
        <v>13610.57</v>
      </c>
      <c r="Q22" t="s">
        <v>82</v>
      </c>
      <c r="R22" t="s">
        <v>39</v>
      </c>
    </row>
    <row r="23" spans="1:18" x14ac:dyDescent="0.3">
      <c r="A23">
        <v>1022</v>
      </c>
      <c r="B23" s="3">
        <v>45595</v>
      </c>
      <c r="C23" s="3">
        <v>45598</v>
      </c>
      <c r="D23" t="s">
        <v>134</v>
      </c>
      <c r="E23" t="s">
        <v>135</v>
      </c>
      <c r="F23" t="s">
        <v>31</v>
      </c>
      <c r="G23" t="s">
        <v>95</v>
      </c>
      <c r="H23" t="s">
        <v>22</v>
      </c>
      <c r="I23" t="s">
        <v>23</v>
      </c>
      <c r="J23" t="s">
        <v>24</v>
      </c>
      <c r="K23" t="s">
        <v>72</v>
      </c>
      <c r="L23" t="s">
        <v>136</v>
      </c>
      <c r="M23" s="1">
        <v>18917.72</v>
      </c>
      <c r="N23">
        <v>1</v>
      </c>
      <c r="O23" s="2">
        <v>0.05</v>
      </c>
      <c r="P23" s="1">
        <v>1607.14</v>
      </c>
      <c r="Q23" t="s">
        <v>82</v>
      </c>
      <c r="R23" t="s">
        <v>53</v>
      </c>
    </row>
    <row r="24" spans="1:18" x14ac:dyDescent="0.3">
      <c r="A24">
        <v>1023</v>
      </c>
      <c r="B24" s="3">
        <v>45499</v>
      </c>
      <c r="C24" s="3">
        <v>45501</v>
      </c>
      <c r="D24" t="s">
        <v>137</v>
      </c>
      <c r="E24" t="s">
        <v>138</v>
      </c>
      <c r="F24" t="s">
        <v>31</v>
      </c>
      <c r="G24" t="s">
        <v>112</v>
      </c>
      <c r="H24" t="s">
        <v>113</v>
      </c>
      <c r="I24" t="s">
        <v>49</v>
      </c>
      <c r="J24" t="s">
        <v>35</v>
      </c>
      <c r="K24" t="s">
        <v>42</v>
      </c>
      <c r="L24" t="s">
        <v>139</v>
      </c>
      <c r="M24" s="1">
        <v>52656.58</v>
      </c>
      <c r="N24">
        <v>9</v>
      </c>
      <c r="O24" s="2">
        <v>0.3</v>
      </c>
      <c r="P24" s="1">
        <v>3407.09</v>
      </c>
      <c r="Q24" t="s">
        <v>38</v>
      </c>
      <c r="R24" t="s">
        <v>39</v>
      </c>
    </row>
    <row r="25" spans="1:18" x14ac:dyDescent="0.3">
      <c r="A25">
        <v>1024</v>
      </c>
      <c r="B25" s="3">
        <v>45351</v>
      </c>
      <c r="C25" s="3">
        <v>45353</v>
      </c>
      <c r="D25" t="s">
        <v>140</v>
      </c>
      <c r="E25" t="s">
        <v>89</v>
      </c>
      <c r="F25" t="s">
        <v>31</v>
      </c>
      <c r="G25" t="s">
        <v>70</v>
      </c>
      <c r="H25" t="s">
        <v>71</v>
      </c>
      <c r="I25" t="s">
        <v>58</v>
      </c>
      <c r="J25" t="s">
        <v>35</v>
      </c>
      <c r="K25" t="s">
        <v>59</v>
      </c>
      <c r="L25" t="s">
        <v>141</v>
      </c>
      <c r="M25" s="1">
        <v>52720.9</v>
      </c>
      <c r="N25">
        <v>2</v>
      </c>
      <c r="O25" s="2">
        <v>0.25</v>
      </c>
      <c r="P25" s="1">
        <v>5445.02</v>
      </c>
      <c r="Q25" t="s">
        <v>74</v>
      </c>
      <c r="R25" t="s">
        <v>28</v>
      </c>
    </row>
    <row r="26" spans="1:18" x14ac:dyDescent="0.3">
      <c r="A26">
        <v>1025</v>
      </c>
      <c r="B26" s="3">
        <v>45936</v>
      </c>
      <c r="C26" s="3">
        <v>45940</v>
      </c>
      <c r="D26" t="s">
        <v>142</v>
      </c>
      <c r="E26" t="s">
        <v>143</v>
      </c>
      <c r="F26" t="s">
        <v>46</v>
      </c>
      <c r="G26" t="s">
        <v>107</v>
      </c>
      <c r="H26" t="s">
        <v>108</v>
      </c>
      <c r="I26" t="s">
        <v>34</v>
      </c>
      <c r="J26" t="s">
        <v>24</v>
      </c>
      <c r="K26" t="s">
        <v>50</v>
      </c>
      <c r="L26" t="s">
        <v>144</v>
      </c>
      <c r="M26" s="1">
        <v>35410.339999999997</v>
      </c>
      <c r="N26">
        <v>3</v>
      </c>
      <c r="O26" s="2">
        <v>0.05</v>
      </c>
      <c r="P26" s="1">
        <v>4513.22</v>
      </c>
      <c r="Q26" t="s">
        <v>27</v>
      </c>
      <c r="R26" t="s">
        <v>53</v>
      </c>
    </row>
    <row r="27" spans="1:18" x14ac:dyDescent="0.3">
      <c r="A27">
        <v>1026</v>
      </c>
      <c r="B27" s="3">
        <v>45518</v>
      </c>
      <c r="C27" s="3">
        <v>45521</v>
      </c>
      <c r="D27" t="s">
        <v>145</v>
      </c>
      <c r="E27" t="s">
        <v>146</v>
      </c>
      <c r="F27" t="s">
        <v>31</v>
      </c>
      <c r="G27" t="s">
        <v>85</v>
      </c>
      <c r="H27" t="s">
        <v>86</v>
      </c>
      <c r="I27" t="s">
        <v>49</v>
      </c>
      <c r="J27" t="s">
        <v>35</v>
      </c>
      <c r="K27" t="s">
        <v>59</v>
      </c>
      <c r="L27" t="s">
        <v>147</v>
      </c>
      <c r="M27" s="1">
        <v>33181.17</v>
      </c>
      <c r="N27">
        <v>7</v>
      </c>
      <c r="O27" s="2">
        <v>0.05</v>
      </c>
      <c r="P27" s="1">
        <v>5003.08</v>
      </c>
      <c r="Q27" t="s">
        <v>74</v>
      </c>
      <c r="R27" t="s">
        <v>53</v>
      </c>
    </row>
    <row r="28" spans="1:18" x14ac:dyDescent="0.3">
      <c r="A28">
        <v>1027</v>
      </c>
      <c r="B28" s="3">
        <v>45800</v>
      </c>
      <c r="C28" s="3">
        <v>45804</v>
      </c>
      <c r="D28" t="s">
        <v>148</v>
      </c>
      <c r="E28" t="s">
        <v>149</v>
      </c>
      <c r="F28" t="s">
        <v>20</v>
      </c>
      <c r="G28" t="s">
        <v>56</v>
      </c>
      <c r="H28" t="s">
        <v>57</v>
      </c>
      <c r="I28" t="s">
        <v>58</v>
      </c>
      <c r="J28" t="s">
        <v>35</v>
      </c>
      <c r="K28" t="s">
        <v>42</v>
      </c>
      <c r="L28" t="s">
        <v>150</v>
      </c>
      <c r="M28" s="1">
        <v>33861.550000000003</v>
      </c>
      <c r="N28">
        <v>9</v>
      </c>
      <c r="O28" s="2">
        <v>0.05</v>
      </c>
      <c r="P28" s="1">
        <v>4160.4799999999996</v>
      </c>
      <c r="Q28" t="s">
        <v>61</v>
      </c>
      <c r="R28" t="s">
        <v>120</v>
      </c>
    </row>
    <row r="29" spans="1:18" x14ac:dyDescent="0.3">
      <c r="A29">
        <v>1028</v>
      </c>
      <c r="B29" s="3">
        <v>45505</v>
      </c>
      <c r="C29" s="3">
        <v>45506</v>
      </c>
      <c r="D29" t="s">
        <v>151</v>
      </c>
      <c r="E29" t="s">
        <v>101</v>
      </c>
      <c r="F29" t="s">
        <v>46</v>
      </c>
      <c r="G29" t="s">
        <v>47</v>
      </c>
      <c r="H29" t="s">
        <v>48</v>
      </c>
      <c r="I29" t="s">
        <v>49</v>
      </c>
      <c r="J29" t="s">
        <v>35</v>
      </c>
      <c r="K29" t="s">
        <v>59</v>
      </c>
      <c r="L29" t="s">
        <v>152</v>
      </c>
      <c r="M29" s="1">
        <v>48771.57</v>
      </c>
      <c r="N29">
        <v>7</v>
      </c>
      <c r="O29" s="2">
        <v>0.3</v>
      </c>
      <c r="P29" s="1">
        <v>3314.7</v>
      </c>
      <c r="Q29" t="s">
        <v>67</v>
      </c>
      <c r="R29" t="s">
        <v>39</v>
      </c>
    </row>
    <row r="30" spans="1:18" x14ac:dyDescent="0.3">
      <c r="A30">
        <v>1029</v>
      </c>
      <c r="B30" s="3">
        <v>45566</v>
      </c>
      <c r="C30" s="3">
        <v>45567</v>
      </c>
      <c r="D30" t="s">
        <v>75</v>
      </c>
      <c r="E30" t="s">
        <v>153</v>
      </c>
      <c r="F30" t="s">
        <v>46</v>
      </c>
      <c r="G30" t="s">
        <v>102</v>
      </c>
      <c r="H30" t="s">
        <v>103</v>
      </c>
      <c r="I30" t="s">
        <v>58</v>
      </c>
      <c r="J30" t="s">
        <v>35</v>
      </c>
      <c r="K30" t="s">
        <v>129</v>
      </c>
      <c r="L30" t="s">
        <v>154</v>
      </c>
      <c r="M30" s="1">
        <v>72118.820000000007</v>
      </c>
      <c r="N30">
        <v>8</v>
      </c>
      <c r="O30" s="2">
        <v>0.2</v>
      </c>
      <c r="P30" s="1">
        <v>908.63</v>
      </c>
      <c r="Q30" t="s">
        <v>115</v>
      </c>
      <c r="R30" t="s">
        <v>53</v>
      </c>
    </row>
    <row r="31" spans="1:18" x14ac:dyDescent="0.3">
      <c r="A31">
        <v>1030</v>
      </c>
      <c r="B31" s="3">
        <v>46014</v>
      </c>
      <c r="C31" s="3">
        <v>46020</v>
      </c>
      <c r="D31" t="s">
        <v>155</v>
      </c>
      <c r="E31" t="s">
        <v>156</v>
      </c>
      <c r="F31" t="s">
        <v>46</v>
      </c>
      <c r="G31" t="s">
        <v>32</v>
      </c>
      <c r="H31" t="s">
        <v>33</v>
      </c>
      <c r="I31" t="s">
        <v>34</v>
      </c>
      <c r="J31" t="s">
        <v>64</v>
      </c>
      <c r="K31" t="s">
        <v>157</v>
      </c>
      <c r="L31" t="s">
        <v>158</v>
      </c>
      <c r="M31" s="1">
        <v>29212.959999999999</v>
      </c>
      <c r="N31">
        <v>7</v>
      </c>
      <c r="O31" s="2">
        <v>0.25</v>
      </c>
      <c r="P31" s="1">
        <v>5321.27</v>
      </c>
      <c r="Q31" t="s">
        <v>82</v>
      </c>
      <c r="R31" t="s">
        <v>28</v>
      </c>
    </row>
    <row r="32" spans="1:18" x14ac:dyDescent="0.3">
      <c r="A32">
        <v>1031</v>
      </c>
      <c r="B32" s="3">
        <v>45813</v>
      </c>
      <c r="C32" s="3">
        <v>45815</v>
      </c>
      <c r="D32" t="s">
        <v>159</v>
      </c>
      <c r="E32" t="s">
        <v>160</v>
      </c>
      <c r="F32" t="s">
        <v>31</v>
      </c>
      <c r="G32" t="s">
        <v>95</v>
      </c>
      <c r="H32" t="s">
        <v>22</v>
      </c>
      <c r="I32" t="s">
        <v>23</v>
      </c>
      <c r="J32" t="s">
        <v>64</v>
      </c>
      <c r="K32" t="s">
        <v>80</v>
      </c>
      <c r="L32" t="s">
        <v>161</v>
      </c>
      <c r="M32" s="1">
        <v>72131.820000000007</v>
      </c>
      <c r="N32">
        <v>7</v>
      </c>
      <c r="O32" s="2">
        <v>0.15</v>
      </c>
      <c r="P32" s="1">
        <v>4835.6899999999996</v>
      </c>
      <c r="Q32" t="s">
        <v>38</v>
      </c>
      <c r="R32" t="s">
        <v>53</v>
      </c>
    </row>
    <row r="33" spans="1:18" x14ac:dyDescent="0.3">
      <c r="A33">
        <v>1032</v>
      </c>
      <c r="B33" s="3">
        <v>45354</v>
      </c>
      <c r="C33" s="3">
        <v>45355</v>
      </c>
      <c r="D33" t="s">
        <v>162</v>
      </c>
      <c r="E33" t="s">
        <v>163</v>
      </c>
      <c r="F33" t="s">
        <v>20</v>
      </c>
      <c r="G33" t="s">
        <v>107</v>
      </c>
      <c r="H33" t="s">
        <v>108</v>
      </c>
      <c r="I33" t="s">
        <v>34</v>
      </c>
      <c r="J33" t="s">
        <v>64</v>
      </c>
      <c r="K33" t="s">
        <v>65</v>
      </c>
      <c r="L33" t="s">
        <v>164</v>
      </c>
      <c r="M33" s="1">
        <v>40235.300000000003</v>
      </c>
      <c r="N33">
        <v>1</v>
      </c>
      <c r="O33" s="2">
        <v>0.2</v>
      </c>
      <c r="P33" s="1">
        <v>486.45</v>
      </c>
      <c r="Q33" t="s">
        <v>38</v>
      </c>
      <c r="R33" t="s">
        <v>39</v>
      </c>
    </row>
    <row r="34" spans="1:18" x14ac:dyDescent="0.3">
      <c r="A34">
        <v>1033</v>
      </c>
      <c r="B34" s="3">
        <v>45501</v>
      </c>
      <c r="C34" s="3">
        <v>45506</v>
      </c>
      <c r="D34" t="s">
        <v>137</v>
      </c>
      <c r="E34" t="s">
        <v>165</v>
      </c>
      <c r="F34" t="s">
        <v>46</v>
      </c>
      <c r="G34" t="s">
        <v>102</v>
      </c>
      <c r="H34" t="s">
        <v>103</v>
      </c>
      <c r="I34" t="s">
        <v>58</v>
      </c>
      <c r="J34" t="s">
        <v>64</v>
      </c>
      <c r="K34" t="s">
        <v>157</v>
      </c>
      <c r="L34" t="s">
        <v>166</v>
      </c>
      <c r="M34" s="1">
        <v>76721.960000000006</v>
      </c>
      <c r="N34">
        <v>6</v>
      </c>
      <c r="O34" s="2">
        <v>0</v>
      </c>
      <c r="P34" s="1">
        <v>21112.74</v>
      </c>
      <c r="Q34" t="s">
        <v>115</v>
      </c>
      <c r="R34" t="s">
        <v>53</v>
      </c>
    </row>
    <row r="35" spans="1:18" x14ac:dyDescent="0.3">
      <c r="A35">
        <v>1034</v>
      </c>
      <c r="B35" s="3">
        <v>45994</v>
      </c>
      <c r="C35" s="3">
        <v>45997</v>
      </c>
      <c r="D35" t="s">
        <v>167</v>
      </c>
      <c r="E35" t="s">
        <v>168</v>
      </c>
      <c r="F35" t="s">
        <v>31</v>
      </c>
      <c r="G35" t="s">
        <v>95</v>
      </c>
      <c r="H35" t="s">
        <v>22</v>
      </c>
      <c r="I35" t="s">
        <v>23</v>
      </c>
      <c r="J35" t="s">
        <v>24</v>
      </c>
      <c r="K35" t="s">
        <v>72</v>
      </c>
      <c r="L35" t="s">
        <v>169</v>
      </c>
      <c r="M35" s="1">
        <v>83966.87</v>
      </c>
      <c r="N35">
        <v>1</v>
      </c>
      <c r="O35" s="2">
        <v>0.05</v>
      </c>
      <c r="P35" s="1">
        <v>20667.75</v>
      </c>
      <c r="Q35" t="s">
        <v>61</v>
      </c>
      <c r="R35" t="s">
        <v>39</v>
      </c>
    </row>
    <row r="36" spans="1:18" x14ac:dyDescent="0.3">
      <c r="A36">
        <v>1035</v>
      </c>
      <c r="B36" s="3">
        <v>46013</v>
      </c>
      <c r="C36" s="3">
        <v>46015</v>
      </c>
      <c r="D36" t="s">
        <v>170</v>
      </c>
      <c r="E36" t="s">
        <v>171</v>
      </c>
      <c r="F36" t="s">
        <v>20</v>
      </c>
      <c r="G36" t="s">
        <v>56</v>
      </c>
      <c r="H36" t="s">
        <v>57</v>
      </c>
      <c r="I36" t="s">
        <v>58</v>
      </c>
      <c r="J36" t="s">
        <v>24</v>
      </c>
      <c r="K36" t="s">
        <v>25</v>
      </c>
      <c r="L36" t="s">
        <v>172</v>
      </c>
      <c r="M36" s="1">
        <v>21910.03</v>
      </c>
      <c r="N36">
        <v>9</v>
      </c>
      <c r="O36" s="2">
        <v>0.15</v>
      </c>
      <c r="P36" s="1">
        <v>569.03</v>
      </c>
      <c r="Q36" t="s">
        <v>61</v>
      </c>
      <c r="R36" t="s">
        <v>39</v>
      </c>
    </row>
    <row r="37" spans="1:18" x14ac:dyDescent="0.3">
      <c r="A37">
        <v>1036</v>
      </c>
      <c r="B37" s="3">
        <v>45396</v>
      </c>
      <c r="C37" s="3">
        <v>45399</v>
      </c>
      <c r="D37" t="s">
        <v>173</v>
      </c>
      <c r="E37" t="s">
        <v>79</v>
      </c>
      <c r="F37" t="s">
        <v>46</v>
      </c>
      <c r="G37" t="s">
        <v>21</v>
      </c>
      <c r="H37" t="s">
        <v>22</v>
      </c>
      <c r="I37" t="s">
        <v>23</v>
      </c>
      <c r="J37" t="s">
        <v>35</v>
      </c>
      <c r="K37" t="s">
        <v>36</v>
      </c>
      <c r="L37" t="s">
        <v>174</v>
      </c>
      <c r="M37" s="1">
        <v>46302.49</v>
      </c>
      <c r="N37">
        <v>6</v>
      </c>
      <c r="O37" s="2">
        <v>0.15</v>
      </c>
      <c r="P37" s="1">
        <v>7202.23</v>
      </c>
      <c r="Q37" t="s">
        <v>67</v>
      </c>
      <c r="R37" t="s">
        <v>53</v>
      </c>
    </row>
    <row r="38" spans="1:18" x14ac:dyDescent="0.3">
      <c r="A38">
        <v>1037</v>
      </c>
      <c r="B38" s="3">
        <v>45898</v>
      </c>
      <c r="C38" s="3">
        <v>45899</v>
      </c>
      <c r="D38" t="s">
        <v>148</v>
      </c>
      <c r="E38" t="s">
        <v>175</v>
      </c>
      <c r="F38" t="s">
        <v>31</v>
      </c>
      <c r="G38" t="s">
        <v>47</v>
      </c>
      <c r="H38" t="s">
        <v>48</v>
      </c>
      <c r="I38" t="s">
        <v>49</v>
      </c>
      <c r="J38" t="s">
        <v>24</v>
      </c>
      <c r="K38" t="s">
        <v>25</v>
      </c>
      <c r="L38" t="s">
        <v>176</v>
      </c>
      <c r="M38" s="1">
        <v>7175.24</v>
      </c>
      <c r="N38">
        <v>9</v>
      </c>
      <c r="O38" s="2">
        <v>0.05</v>
      </c>
      <c r="P38" s="1">
        <v>508.99</v>
      </c>
      <c r="Q38" t="s">
        <v>27</v>
      </c>
      <c r="R38" t="s">
        <v>53</v>
      </c>
    </row>
    <row r="39" spans="1:18" x14ac:dyDescent="0.3">
      <c r="A39">
        <v>1038</v>
      </c>
      <c r="B39" s="3">
        <v>45316</v>
      </c>
      <c r="C39" s="3">
        <v>45318</v>
      </c>
      <c r="D39" t="s">
        <v>177</v>
      </c>
      <c r="E39" t="s">
        <v>178</v>
      </c>
      <c r="F39" t="s">
        <v>46</v>
      </c>
      <c r="G39" t="s">
        <v>102</v>
      </c>
      <c r="H39" t="s">
        <v>103</v>
      </c>
      <c r="I39" t="s">
        <v>58</v>
      </c>
      <c r="J39" t="s">
        <v>35</v>
      </c>
      <c r="K39" t="s">
        <v>42</v>
      </c>
      <c r="L39" t="s">
        <v>179</v>
      </c>
      <c r="M39" s="1">
        <v>54847.71</v>
      </c>
      <c r="N39">
        <v>9</v>
      </c>
      <c r="O39" s="2">
        <v>0.15</v>
      </c>
      <c r="P39" s="1">
        <v>10841.03</v>
      </c>
      <c r="Q39" t="s">
        <v>115</v>
      </c>
      <c r="R39" t="s">
        <v>120</v>
      </c>
    </row>
    <row r="40" spans="1:18" x14ac:dyDescent="0.3">
      <c r="A40">
        <v>1039</v>
      </c>
      <c r="B40" s="3">
        <v>45312</v>
      </c>
      <c r="C40" s="3">
        <v>45317</v>
      </c>
      <c r="D40" t="s">
        <v>180</v>
      </c>
      <c r="E40" t="s">
        <v>181</v>
      </c>
      <c r="F40" t="s">
        <v>31</v>
      </c>
      <c r="G40" t="s">
        <v>47</v>
      </c>
      <c r="H40" t="s">
        <v>48</v>
      </c>
      <c r="I40" t="s">
        <v>49</v>
      </c>
      <c r="J40" t="s">
        <v>24</v>
      </c>
      <c r="K40" t="s">
        <v>72</v>
      </c>
      <c r="L40" t="s">
        <v>182</v>
      </c>
      <c r="M40" s="1">
        <v>41072.58</v>
      </c>
      <c r="N40">
        <v>8</v>
      </c>
      <c r="O40" s="2">
        <v>0.05</v>
      </c>
      <c r="P40" s="1">
        <v>5746.81</v>
      </c>
      <c r="Q40" t="s">
        <v>67</v>
      </c>
      <c r="R40" t="s">
        <v>28</v>
      </c>
    </row>
    <row r="41" spans="1:18" x14ac:dyDescent="0.3">
      <c r="A41">
        <v>1040</v>
      </c>
      <c r="B41" s="3">
        <v>45644</v>
      </c>
      <c r="C41" s="3">
        <v>45649</v>
      </c>
      <c r="D41" t="s">
        <v>183</v>
      </c>
      <c r="E41" t="s">
        <v>184</v>
      </c>
      <c r="F41" t="s">
        <v>20</v>
      </c>
      <c r="G41" t="s">
        <v>95</v>
      </c>
      <c r="H41" t="s">
        <v>22</v>
      </c>
      <c r="I41" t="s">
        <v>23</v>
      </c>
      <c r="J41" t="s">
        <v>35</v>
      </c>
      <c r="K41" t="s">
        <v>36</v>
      </c>
      <c r="L41" t="s">
        <v>185</v>
      </c>
      <c r="M41" s="1">
        <v>53108.83</v>
      </c>
      <c r="N41">
        <v>1</v>
      </c>
      <c r="O41" s="2">
        <v>0.3</v>
      </c>
      <c r="P41" s="1">
        <v>3637.28</v>
      </c>
      <c r="Q41" t="s">
        <v>115</v>
      </c>
      <c r="R41" t="s">
        <v>120</v>
      </c>
    </row>
    <row r="42" spans="1:18" x14ac:dyDescent="0.3">
      <c r="A42">
        <v>1041</v>
      </c>
      <c r="B42" s="3">
        <v>45486</v>
      </c>
      <c r="C42" s="3">
        <v>45488</v>
      </c>
      <c r="D42" t="s">
        <v>186</v>
      </c>
      <c r="E42" t="s">
        <v>187</v>
      </c>
      <c r="F42" t="s">
        <v>31</v>
      </c>
      <c r="G42" t="s">
        <v>56</v>
      </c>
      <c r="H42" t="s">
        <v>57</v>
      </c>
      <c r="I42" t="s">
        <v>58</v>
      </c>
      <c r="J42" t="s">
        <v>64</v>
      </c>
      <c r="K42" t="s">
        <v>188</v>
      </c>
      <c r="L42" t="s">
        <v>189</v>
      </c>
      <c r="M42" s="1">
        <v>26063.040000000001</v>
      </c>
      <c r="N42">
        <v>8</v>
      </c>
      <c r="O42" s="2">
        <v>0.25</v>
      </c>
      <c r="P42" s="1">
        <v>2561.4699999999998</v>
      </c>
      <c r="Q42" t="s">
        <v>74</v>
      </c>
      <c r="R42" t="s">
        <v>39</v>
      </c>
    </row>
    <row r="43" spans="1:18" x14ac:dyDescent="0.3">
      <c r="A43">
        <v>1042</v>
      </c>
      <c r="B43" s="3">
        <v>45765</v>
      </c>
      <c r="C43" s="3">
        <v>45771</v>
      </c>
      <c r="D43" t="s">
        <v>190</v>
      </c>
      <c r="E43" t="s">
        <v>191</v>
      </c>
      <c r="F43" t="s">
        <v>31</v>
      </c>
      <c r="G43" t="s">
        <v>107</v>
      </c>
      <c r="H43" t="s">
        <v>108</v>
      </c>
      <c r="I43" t="s">
        <v>34</v>
      </c>
      <c r="J43" t="s">
        <v>35</v>
      </c>
      <c r="K43" t="s">
        <v>129</v>
      </c>
      <c r="L43" t="s">
        <v>192</v>
      </c>
      <c r="M43" s="1">
        <v>78845.03</v>
      </c>
      <c r="N43">
        <v>2</v>
      </c>
      <c r="O43" s="2">
        <v>0.3</v>
      </c>
      <c r="P43" s="1">
        <v>6077.6</v>
      </c>
      <c r="Q43" t="s">
        <v>67</v>
      </c>
      <c r="R43" t="s">
        <v>53</v>
      </c>
    </row>
    <row r="44" spans="1:18" x14ac:dyDescent="0.3">
      <c r="A44">
        <v>1043</v>
      </c>
      <c r="B44" s="3">
        <v>45784</v>
      </c>
      <c r="C44" s="3">
        <v>45788</v>
      </c>
      <c r="D44" t="s">
        <v>193</v>
      </c>
      <c r="E44" t="s">
        <v>194</v>
      </c>
      <c r="F44" t="s">
        <v>20</v>
      </c>
      <c r="G44" t="s">
        <v>90</v>
      </c>
      <c r="H44" t="s">
        <v>91</v>
      </c>
      <c r="I44" t="s">
        <v>23</v>
      </c>
      <c r="J44" t="s">
        <v>24</v>
      </c>
      <c r="K44" t="s">
        <v>72</v>
      </c>
      <c r="L44" t="s">
        <v>195</v>
      </c>
      <c r="M44" s="1">
        <v>31590.49</v>
      </c>
      <c r="N44">
        <v>8</v>
      </c>
      <c r="O44" s="2">
        <v>0.3</v>
      </c>
      <c r="P44" s="1">
        <v>1368.26</v>
      </c>
      <c r="Q44" t="s">
        <v>67</v>
      </c>
      <c r="R44" t="s">
        <v>39</v>
      </c>
    </row>
    <row r="45" spans="1:18" x14ac:dyDescent="0.3">
      <c r="A45">
        <v>1044</v>
      </c>
      <c r="B45" s="3">
        <v>45715</v>
      </c>
      <c r="C45" s="3">
        <v>45718</v>
      </c>
      <c r="D45" t="s">
        <v>196</v>
      </c>
      <c r="E45" t="s">
        <v>197</v>
      </c>
      <c r="F45" t="s">
        <v>20</v>
      </c>
      <c r="G45" t="s">
        <v>47</v>
      </c>
      <c r="H45" t="s">
        <v>48</v>
      </c>
      <c r="I45" t="s">
        <v>49</v>
      </c>
      <c r="J45" t="s">
        <v>35</v>
      </c>
      <c r="K45" t="s">
        <v>42</v>
      </c>
      <c r="L45" t="s">
        <v>198</v>
      </c>
      <c r="M45" s="1">
        <v>30919.77</v>
      </c>
      <c r="N45">
        <v>9</v>
      </c>
      <c r="O45" s="2">
        <v>0.05</v>
      </c>
      <c r="P45" s="1">
        <v>8485.5400000000009</v>
      </c>
      <c r="Q45" t="s">
        <v>52</v>
      </c>
      <c r="R45" t="s">
        <v>28</v>
      </c>
    </row>
    <row r="46" spans="1:18" x14ac:dyDescent="0.3">
      <c r="A46">
        <v>1045</v>
      </c>
      <c r="B46" s="3">
        <v>45968</v>
      </c>
      <c r="C46" s="3">
        <v>45972</v>
      </c>
      <c r="D46" t="s">
        <v>199</v>
      </c>
      <c r="E46" t="s">
        <v>200</v>
      </c>
      <c r="F46" t="s">
        <v>31</v>
      </c>
      <c r="G46" t="s">
        <v>112</v>
      </c>
      <c r="H46" t="s">
        <v>113</v>
      </c>
      <c r="I46" t="s">
        <v>49</v>
      </c>
      <c r="J46" t="s">
        <v>64</v>
      </c>
      <c r="K46" t="s">
        <v>104</v>
      </c>
      <c r="L46" t="s">
        <v>201</v>
      </c>
      <c r="M46" s="1">
        <v>66063.98</v>
      </c>
      <c r="N46">
        <v>5</v>
      </c>
      <c r="O46" s="2">
        <v>0.05</v>
      </c>
      <c r="P46" s="1">
        <v>7406.48</v>
      </c>
      <c r="Q46" t="s">
        <v>61</v>
      </c>
      <c r="R46" t="s">
        <v>53</v>
      </c>
    </row>
    <row r="47" spans="1:18" x14ac:dyDescent="0.3">
      <c r="A47">
        <v>1046</v>
      </c>
      <c r="B47" s="3">
        <v>46016</v>
      </c>
      <c r="C47" s="3">
        <v>46018</v>
      </c>
      <c r="D47" t="s">
        <v>148</v>
      </c>
      <c r="E47" t="s">
        <v>202</v>
      </c>
      <c r="F47" t="s">
        <v>20</v>
      </c>
      <c r="G47" t="s">
        <v>102</v>
      </c>
      <c r="H47" t="s">
        <v>103</v>
      </c>
      <c r="I47" t="s">
        <v>58</v>
      </c>
      <c r="J47" t="s">
        <v>64</v>
      </c>
      <c r="K47" t="s">
        <v>157</v>
      </c>
      <c r="L47" t="s">
        <v>203</v>
      </c>
      <c r="M47" s="1">
        <v>31236.66</v>
      </c>
      <c r="N47">
        <v>3</v>
      </c>
      <c r="O47" s="2">
        <v>0.1</v>
      </c>
      <c r="P47" s="1">
        <v>4026.87</v>
      </c>
      <c r="Q47" t="s">
        <v>67</v>
      </c>
      <c r="R47" t="s">
        <v>53</v>
      </c>
    </row>
    <row r="48" spans="1:18" x14ac:dyDescent="0.3">
      <c r="A48">
        <v>1047</v>
      </c>
      <c r="B48" s="3">
        <v>45691</v>
      </c>
      <c r="C48" s="3">
        <v>45694</v>
      </c>
      <c r="D48" t="s">
        <v>204</v>
      </c>
      <c r="E48" t="s">
        <v>205</v>
      </c>
      <c r="F48" t="s">
        <v>46</v>
      </c>
      <c r="G48" t="s">
        <v>85</v>
      </c>
      <c r="H48" t="s">
        <v>86</v>
      </c>
      <c r="I48" t="s">
        <v>49</v>
      </c>
      <c r="J48" t="s">
        <v>24</v>
      </c>
      <c r="K48" t="s">
        <v>25</v>
      </c>
      <c r="L48" t="s">
        <v>206</v>
      </c>
      <c r="M48" s="1">
        <v>8153.79</v>
      </c>
      <c r="N48">
        <v>8</v>
      </c>
      <c r="O48" s="2">
        <v>0.05</v>
      </c>
      <c r="P48" s="1">
        <v>1279.8599999999999</v>
      </c>
      <c r="Q48" t="s">
        <v>115</v>
      </c>
      <c r="R48" t="s">
        <v>28</v>
      </c>
    </row>
    <row r="49" spans="1:18" x14ac:dyDescent="0.3">
      <c r="A49">
        <v>1048</v>
      </c>
      <c r="B49" s="3">
        <v>45672</v>
      </c>
      <c r="C49" s="3">
        <v>45675</v>
      </c>
      <c r="D49" t="s">
        <v>155</v>
      </c>
      <c r="E49" t="s">
        <v>205</v>
      </c>
      <c r="F49" t="s">
        <v>46</v>
      </c>
      <c r="G49" t="s">
        <v>102</v>
      </c>
      <c r="H49" t="s">
        <v>103</v>
      </c>
      <c r="I49" t="s">
        <v>58</v>
      </c>
      <c r="J49" t="s">
        <v>35</v>
      </c>
      <c r="K49" t="s">
        <v>36</v>
      </c>
      <c r="L49" t="s">
        <v>207</v>
      </c>
      <c r="M49" s="1">
        <v>4713.38</v>
      </c>
      <c r="N49">
        <v>8</v>
      </c>
      <c r="O49" s="2">
        <v>0.15</v>
      </c>
      <c r="P49" s="1">
        <v>897.07</v>
      </c>
      <c r="Q49" t="s">
        <v>61</v>
      </c>
      <c r="R49" t="s">
        <v>28</v>
      </c>
    </row>
    <row r="50" spans="1:18" x14ac:dyDescent="0.3">
      <c r="A50">
        <v>1049</v>
      </c>
      <c r="B50" s="3">
        <v>45969</v>
      </c>
      <c r="C50" s="3">
        <v>45972</v>
      </c>
      <c r="D50" t="s">
        <v>208</v>
      </c>
      <c r="E50" t="s">
        <v>165</v>
      </c>
      <c r="F50" t="s">
        <v>20</v>
      </c>
      <c r="G50" t="s">
        <v>32</v>
      </c>
      <c r="H50" t="s">
        <v>33</v>
      </c>
      <c r="I50" t="s">
        <v>34</v>
      </c>
      <c r="J50" t="s">
        <v>35</v>
      </c>
      <c r="K50" t="s">
        <v>129</v>
      </c>
      <c r="L50" t="s">
        <v>209</v>
      </c>
      <c r="M50" s="1">
        <v>53366.48</v>
      </c>
      <c r="N50">
        <v>10</v>
      </c>
      <c r="O50" s="2">
        <v>0.25</v>
      </c>
      <c r="P50" s="1">
        <v>2815.81</v>
      </c>
      <c r="Q50" t="s">
        <v>27</v>
      </c>
      <c r="R50" t="s">
        <v>28</v>
      </c>
    </row>
    <row r="51" spans="1:18" x14ac:dyDescent="0.3">
      <c r="A51">
        <v>1050</v>
      </c>
      <c r="B51" s="3">
        <v>45905</v>
      </c>
      <c r="C51" s="3">
        <v>45907</v>
      </c>
      <c r="D51" t="s">
        <v>210</v>
      </c>
      <c r="E51" t="s">
        <v>211</v>
      </c>
      <c r="F51" t="s">
        <v>46</v>
      </c>
      <c r="G51" t="s">
        <v>90</v>
      </c>
      <c r="H51" t="s">
        <v>91</v>
      </c>
      <c r="I51" t="s">
        <v>23</v>
      </c>
      <c r="J51" t="s">
        <v>24</v>
      </c>
      <c r="K51" t="s">
        <v>212</v>
      </c>
      <c r="L51" t="s">
        <v>213</v>
      </c>
      <c r="M51" s="1">
        <v>43714.06</v>
      </c>
      <c r="N51">
        <v>2</v>
      </c>
      <c r="O51" s="2">
        <v>0.1</v>
      </c>
      <c r="P51" s="1">
        <v>6618.5</v>
      </c>
      <c r="Q51" t="s">
        <v>52</v>
      </c>
      <c r="R51" t="s">
        <v>28</v>
      </c>
    </row>
    <row r="52" spans="1:18" x14ac:dyDescent="0.3">
      <c r="A52">
        <v>1051</v>
      </c>
      <c r="B52" s="3">
        <v>45665</v>
      </c>
      <c r="C52" s="3">
        <v>45669</v>
      </c>
      <c r="D52" t="s">
        <v>214</v>
      </c>
      <c r="E52" t="s">
        <v>215</v>
      </c>
      <c r="F52" t="s">
        <v>31</v>
      </c>
      <c r="G52" t="s">
        <v>56</v>
      </c>
      <c r="H52" t="s">
        <v>57</v>
      </c>
      <c r="I52" t="s">
        <v>58</v>
      </c>
      <c r="J52" t="s">
        <v>35</v>
      </c>
      <c r="K52" t="s">
        <v>42</v>
      </c>
      <c r="L52" t="s">
        <v>216</v>
      </c>
      <c r="M52" s="1">
        <v>12035.46</v>
      </c>
      <c r="N52">
        <v>4</v>
      </c>
      <c r="O52" s="2">
        <v>0</v>
      </c>
      <c r="P52" s="1">
        <v>1990.99</v>
      </c>
      <c r="Q52" t="s">
        <v>27</v>
      </c>
      <c r="R52" t="s">
        <v>53</v>
      </c>
    </row>
    <row r="53" spans="1:18" x14ac:dyDescent="0.3">
      <c r="A53">
        <v>1052</v>
      </c>
      <c r="B53" s="3">
        <v>45639</v>
      </c>
      <c r="C53" s="3">
        <v>45642</v>
      </c>
      <c r="D53" t="s">
        <v>217</v>
      </c>
      <c r="E53" t="s">
        <v>218</v>
      </c>
      <c r="F53" t="s">
        <v>46</v>
      </c>
      <c r="G53" t="s">
        <v>47</v>
      </c>
      <c r="H53" t="s">
        <v>48</v>
      </c>
      <c r="I53" t="s">
        <v>49</v>
      </c>
      <c r="J53" t="s">
        <v>35</v>
      </c>
      <c r="K53" t="s">
        <v>36</v>
      </c>
      <c r="L53" t="s">
        <v>219</v>
      </c>
      <c r="M53" s="1">
        <v>11627.67</v>
      </c>
      <c r="N53">
        <v>1</v>
      </c>
      <c r="O53" s="2">
        <v>0.1</v>
      </c>
      <c r="P53" s="1">
        <v>1140.1500000000001</v>
      </c>
      <c r="Q53" t="s">
        <v>115</v>
      </c>
      <c r="R53" t="s">
        <v>28</v>
      </c>
    </row>
    <row r="54" spans="1:18" x14ac:dyDescent="0.3">
      <c r="A54">
        <v>1053</v>
      </c>
      <c r="B54" s="3">
        <v>45920</v>
      </c>
      <c r="C54" s="3">
        <v>45922</v>
      </c>
      <c r="D54" t="s">
        <v>220</v>
      </c>
      <c r="E54" t="s">
        <v>221</v>
      </c>
      <c r="F54" t="s">
        <v>31</v>
      </c>
      <c r="G54" t="s">
        <v>95</v>
      </c>
      <c r="H54" t="s">
        <v>22</v>
      </c>
      <c r="I54" t="s">
        <v>23</v>
      </c>
      <c r="J54" t="s">
        <v>64</v>
      </c>
      <c r="K54" t="s">
        <v>157</v>
      </c>
      <c r="L54" t="s">
        <v>222</v>
      </c>
      <c r="M54" s="1">
        <v>69914.06</v>
      </c>
      <c r="N54">
        <v>5</v>
      </c>
      <c r="O54" s="2">
        <v>0.25</v>
      </c>
      <c r="P54" s="1">
        <v>12473.37</v>
      </c>
      <c r="Q54" t="s">
        <v>27</v>
      </c>
      <c r="R54" t="s">
        <v>120</v>
      </c>
    </row>
    <row r="55" spans="1:18" x14ac:dyDescent="0.3">
      <c r="A55">
        <v>1054</v>
      </c>
      <c r="B55" s="3">
        <v>45681</v>
      </c>
      <c r="C55" s="3">
        <v>45682</v>
      </c>
      <c r="D55" t="s">
        <v>223</v>
      </c>
      <c r="E55" t="s">
        <v>19</v>
      </c>
      <c r="F55" t="s">
        <v>20</v>
      </c>
      <c r="G55" t="s">
        <v>56</v>
      </c>
      <c r="H55" t="s">
        <v>57</v>
      </c>
      <c r="I55" t="s">
        <v>58</v>
      </c>
      <c r="J55" t="s">
        <v>24</v>
      </c>
      <c r="K55" t="s">
        <v>224</v>
      </c>
      <c r="L55" t="s">
        <v>225</v>
      </c>
      <c r="M55" s="1">
        <v>69226.100000000006</v>
      </c>
      <c r="N55">
        <v>9</v>
      </c>
      <c r="O55" s="2">
        <v>0</v>
      </c>
      <c r="P55" s="1">
        <v>10514.38</v>
      </c>
      <c r="Q55" t="s">
        <v>61</v>
      </c>
      <c r="R55" t="s">
        <v>28</v>
      </c>
    </row>
    <row r="56" spans="1:18" x14ac:dyDescent="0.3">
      <c r="A56">
        <v>1055</v>
      </c>
      <c r="B56" s="3">
        <v>45365</v>
      </c>
      <c r="C56" s="3">
        <v>45371</v>
      </c>
      <c r="D56" t="s">
        <v>226</v>
      </c>
      <c r="E56" t="s">
        <v>227</v>
      </c>
      <c r="F56" t="s">
        <v>20</v>
      </c>
      <c r="G56" t="s">
        <v>56</v>
      </c>
      <c r="H56" t="s">
        <v>57</v>
      </c>
      <c r="I56" t="s">
        <v>58</v>
      </c>
      <c r="J56" t="s">
        <v>64</v>
      </c>
      <c r="K56" t="s">
        <v>65</v>
      </c>
      <c r="L56" t="s">
        <v>228</v>
      </c>
      <c r="M56" s="1">
        <v>47791.48</v>
      </c>
      <c r="N56">
        <v>1</v>
      </c>
      <c r="O56" s="2">
        <v>0.1</v>
      </c>
      <c r="P56" s="1">
        <v>5021.96</v>
      </c>
      <c r="Q56" t="s">
        <v>82</v>
      </c>
      <c r="R56" t="s">
        <v>28</v>
      </c>
    </row>
    <row r="57" spans="1:18" x14ac:dyDescent="0.3">
      <c r="A57">
        <v>1056</v>
      </c>
      <c r="B57" s="3">
        <v>45859</v>
      </c>
      <c r="C57" s="3">
        <v>45864</v>
      </c>
      <c r="D57" t="s">
        <v>88</v>
      </c>
      <c r="E57" t="s">
        <v>229</v>
      </c>
      <c r="F57" t="s">
        <v>20</v>
      </c>
      <c r="G57" t="s">
        <v>95</v>
      </c>
      <c r="H57" t="s">
        <v>22</v>
      </c>
      <c r="I57" t="s">
        <v>23</v>
      </c>
      <c r="J57" t="s">
        <v>64</v>
      </c>
      <c r="K57" t="s">
        <v>80</v>
      </c>
      <c r="L57" t="s">
        <v>230</v>
      </c>
      <c r="M57" s="1">
        <v>51284.66</v>
      </c>
      <c r="N57">
        <v>1</v>
      </c>
      <c r="O57" s="2">
        <v>0.15</v>
      </c>
      <c r="P57" s="1">
        <v>9485.42</v>
      </c>
      <c r="Q57" t="s">
        <v>52</v>
      </c>
      <c r="R57" t="s">
        <v>53</v>
      </c>
    </row>
    <row r="58" spans="1:18" x14ac:dyDescent="0.3">
      <c r="A58">
        <v>1057</v>
      </c>
      <c r="B58" s="3">
        <v>45447</v>
      </c>
      <c r="C58" s="3">
        <v>45450</v>
      </c>
      <c r="D58" t="s">
        <v>231</v>
      </c>
      <c r="E58" t="s">
        <v>232</v>
      </c>
      <c r="F58" t="s">
        <v>20</v>
      </c>
      <c r="G58" t="s">
        <v>95</v>
      </c>
      <c r="H58" t="s">
        <v>22</v>
      </c>
      <c r="I58" t="s">
        <v>23</v>
      </c>
      <c r="J58" t="s">
        <v>64</v>
      </c>
      <c r="K58" t="s">
        <v>80</v>
      </c>
      <c r="L58" t="s">
        <v>233</v>
      </c>
      <c r="M58" s="1">
        <v>84523.75</v>
      </c>
      <c r="N58">
        <v>1</v>
      </c>
      <c r="O58" s="2">
        <v>0.2</v>
      </c>
      <c r="P58" s="1">
        <v>11739.49</v>
      </c>
      <c r="Q58" t="s">
        <v>115</v>
      </c>
      <c r="R58" t="s">
        <v>28</v>
      </c>
    </row>
    <row r="59" spans="1:18" x14ac:dyDescent="0.3">
      <c r="A59">
        <v>1058</v>
      </c>
      <c r="B59" s="3">
        <v>45754</v>
      </c>
      <c r="C59" s="3">
        <v>45760</v>
      </c>
      <c r="D59" t="s">
        <v>234</v>
      </c>
      <c r="E59" t="s">
        <v>235</v>
      </c>
      <c r="F59" t="s">
        <v>46</v>
      </c>
      <c r="G59" t="s">
        <v>90</v>
      </c>
      <c r="H59" t="s">
        <v>91</v>
      </c>
      <c r="I59" t="s">
        <v>23</v>
      </c>
      <c r="J59" t="s">
        <v>64</v>
      </c>
      <c r="K59" t="s">
        <v>65</v>
      </c>
      <c r="L59" t="s">
        <v>236</v>
      </c>
      <c r="M59" s="1">
        <v>28972.080000000002</v>
      </c>
      <c r="N59">
        <v>4</v>
      </c>
      <c r="O59" s="2">
        <v>0.15</v>
      </c>
      <c r="P59" s="1">
        <v>2175.4</v>
      </c>
      <c r="Q59" t="s">
        <v>67</v>
      </c>
      <c r="R59" t="s">
        <v>120</v>
      </c>
    </row>
    <row r="60" spans="1:18" x14ac:dyDescent="0.3">
      <c r="A60">
        <v>1059</v>
      </c>
      <c r="B60" s="3">
        <v>45571</v>
      </c>
      <c r="C60" s="3">
        <v>45577</v>
      </c>
      <c r="D60" t="s">
        <v>237</v>
      </c>
      <c r="E60" t="s">
        <v>238</v>
      </c>
      <c r="F60" t="s">
        <v>31</v>
      </c>
      <c r="G60" t="s">
        <v>56</v>
      </c>
      <c r="H60" t="s">
        <v>57</v>
      </c>
      <c r="I60" t="s">
        <v>58</v>
      </c>
      <c r="J60" t="s">
        <v>24</v>
      </c>
      <c r="K60" t="s">
        <v>25</v>
      </c>
      <c r="L60" t="s">
        <v>239</v>
      </c>
      <c r="M60" s="1">
        <v>9493.33</v>
      </c>
      <c r="N60">
        <v>9</v>
      </c>
      <c r="O60" s="2">
        <v>0.05</v>
      </c>
      <c r="P60" s="1">
        <v>2432.09</v>
      </c>
      <c r="Q60" t="s">
        <v>115</v>
      </c>
      <c r="R60" t="s">
        <v>120</v>
      </c>
    </row>
    <row r="61" spans="1:18" x14ac:dyDescent="0.3">
      <c r="A61">
        <v>1060</v>
      </c>
      <c r="B61" s="3">
        <v>45516</v>
      </c>
      <c r="C61" s="3">
        <v>45520</v>
      </c>
      <c r="D61" t="s">
        <v>240</v>
      </c>
      <c r="E61" t="s">
        <v>241</v>
      </c>
      <c r="F61" t="s">
        <v>31</v>
      </c>
      <c r="G61" t="s">
        <v>47</v>
      </c>
      <c r="H61" t="s">
        <v>48</v>
      </c>
      <c r="I61" t="s">
        <v>49</v>
      </c>
      <c r="J61" t="s">
        <v>24</v>
      </c>
      <c r="K61" t="s">
        <v>212</v>
      </c>
      <c r="L61" t="s">
        <v>242</v>
      </c>
      <c r="M61" s="1">
        <v>40561.040000000001</v>
      </c>
      <c r="N61">
        <v>6</v>
      </c>
      <c r="O61" s="2">
        <v>0.3</v>
      </c>
      <c r="P61" s="1">
        <v>196.68</v>
      </c>
      <c r="Q61" t="s">
        <v>61</v>
      </c>
      <c r="R61" t="s">
        <v>39</v>
      </c>
    </row>
    <row r="62" spans="1:18" x14ac:dyDescent="0.3">
      <c r="A62">
        <v>1061</v>
      </c>
      <c r="B62" s="3">
        <v>45875</v>
      </c>
      <c r="C62" s="3">
        <v>45881</v>
      </c>
      <c r="D62" t="s">
        <v>243</v>
      </c>
      <c r="E62" t="s">
        <v>244</v>
      </c>
      <c r="F62" t="s">
        <v>46</v>
      </c>
      <c r="G62" t="s">
        <v>47</v>
      </c>
      <c r="H62" t="s">
        <v>48</v>
      </c>
      <c r="I62" t="s">
        <v>49</v>
      </c>
      <c r="J62" t="s">
        <v>64</v>
      </c>
      <c r="K62" t="s">
        <v>188</v>
      </c>
      <c r="L62" t="s">
        <v>245</v>
      </c>
      <c r="M62" s="1">
        <v>81647.12</v>
      </c>
      <c r="N62">
        <v>6</v>
      </c>
      <c r="O62" s="2">
        <v>0.1</v>
      </c>
      <c r="P62" s="1">
        <v>11754.64</v>
      </c>
      <c r="Q62" t="s">
        <v>27</v>
      </c>
      <c r="R62" t="s">
        <v>53</v>
      </c>
    </row>
    <row r="63" spans="1:18" x14ac:dyDescent="0.3">
      <c r="A63">
        <v>1062</v>
      </c>
      <c r="B63" s="3">
        <v>45634</v>
      </c>
      <c r="C63" s="3">
        <v>45639</v>
      </c>
      <c r="D63" t="s">
        <v>246</v>
      </c>
      <c r="E63" t="s">
        <v>247</v>
      </c>
      <c r="F63" t="s">
        <v>46</v>
      </c>
      <c r="G63" t="s">
        <v>56</v>
      </c>
      <c r="H63" t="s">
        <v>57</v>
      </c>
      <c r="I63" t="s">
        <v>58</v>
      </c>
      <c r="J63" t="s">
        <v>64</v>
      </c>
      <c r="K63" t="s">
        <v>80</v>
      </c>
      <c r="L63" t="s">
        <v>248</v>
      </c>
      <c r="M63" s="1">
        <v>23466.34</v>
      </c>
      <c r="N63">
        <v>3</v>
      </c>
      <c r="O63" s="2">
        <v>0.3</v>
      </c>
      <c r="P63" s="1">
        <v>3573.68</v>
      </c>
      <c r="Q63" t="s">
        <v>82</v>
      </c>
      <c r="R63" t="s">
        <v>120</v>
      </c>
    </row>
    <row r="64" spans="1:18" x14ac:dyDescent="0.3">
      <c r="A64">
        <v>1063</v>
      </c>
      <c r="B64" s="3">
        <v>45431</v>
      </c>
      <c r="C64" s="3">
        <v>45433</v>
      </c>
      <c r="D64" t="s">
        <v>249</v>
      </c>
      <c r="E64" t="s">
        <v>232</v>
      </c>
      <c r="F64" t="s">
        <v>46</v>
      </c>
      <c r="G64" t="s">
        <v>70</v>
      </c>
      <c r="H64" t="s">
        <v>71</v>
      </c>
      <c r="I64" t="s">
        <v>58</v>
      </c>
      <c r="J64" t="s">
        <v>64</v>
      </c>
      <c r="K64" t="s">
        <v>65</v>
      </c>
      <c r="L64" t="s">
        <v>250</v>
      </c>
      <c r="M64" s="1">
        <v>57309.4</v>
      </c>
      <c r="N64">
        <v>10</v>
      </c>
      <c r="O64" s="2">
        <v>0.3</v>
      </c>
      <c r="P64" s="1">
        <v>6709.49</v>
      </c>
      <c r="Q64" t="s">
        <v>27</v>
      </c>
      <c r="R64" t="s">
        <v>28</v>
      </c>
    </row>
    <row r="65" spans="1:18" x14ac:dyDescent="0.3">
      <c r="A65">
        <v>1064</v>
      </c>
      <c r="B65" s="3">
        <v>45505</v>
      </c>
      <c r="C65" s="3">
        <v>45508</v>
      </c>
      <c r="D65" t="s">
        <v>251</v>
      </c>
      <c r="E65" t="s">
        <v>252</v>
      </c>
      <c r="F65" t="s">
        <v>20</v>
      </c>
      <c r="G65" t="s">
        <v>47</v>
      </c>
      <c r="H65" t="s">
        <v>48</v>
      </c>
      <c r="I65" t="s">
        <v>49</v>
      </c>
      <c r="J65" t="s">
        <v>64</v>
      </c>
      <c r="K65" t="s">
        <v>157</v>
      </c>
      <c r="L65" t="s">
        <v>253</v>
      </c>
      <c r="M65" s="1">
        <v>6026.07</v>
      </c>
      <c r="N65">
        <v>5</v>
      </c>
      <c r="O65" s="2">
        <v>0.25</v>
      </c>
      <c r="P65" s="1">
        <v>-15.44</v>
      </c>
      <c r="Q65" t="s">
        <v>27</v>
      </c>
      <c r="R65" t="s">
        <v>53</v>
      </c>
    </row>
    <row r="66" spans="1:18" x14ac:dyDescent="0.3">
      <c r="A66">
        <v>1065</v>
      </c>
      <c r="B66" s="3">
        <v>45412</v>
      </c>
      <c r="C66" s="3">
        <v>45415</v>
      </c>
      <c r="D66" t="s">
        <v>254</v>
      </c>
      <c r="E66" t="s">
        <v>156</v>
      </c>
      <c r="F66" t="s">
        <v>31</v>
      </c>
      <c r="G66" t="s">
        <v>95</v>
      </c>
      <c r="H66" t="s">
        <v>22</v>
      </c>
      <c r="I66" t="s">
        <v>23</v>
      </c>
      <c r="J66" t="s">
        <v>64</v>
      </c>
      <c r="K66" t="s">
        <v>80</v>
      </c>
      <c r="L66" t="s">
        <v>255</v>
      </c>
      <c r="M66" s="1">
        <v>43967.39</v>
      </c>
      <c r="N66">
        <v>6</v>
      </c>
      <c r="O66" s="2">
        <v>0.1</v>
      </c>
      <c r="P66" s="1">
        <v>7089.73</v>
      </c>
      <c r="Q66" t="s">
        <v>67</v>
      </c>
      <c r="R66" t="s">
        <v>53</v>
      </c>
    </row>
    <row r="67" spans="1:18" x14ac:dyDescent="0.3">
      <c r="A67">
        <v>1066</v>
      </c>
      <c r="B67" s="3">
        <v>45644</v>
      </c>
      <c r="C67" s="3">
        <v>45650</v>
      </c>
      <c r="D67" t="s">
        <v>256</v>
      </c>
      <c r="E67" t="s">
        <v>257</v>
      </c>
      <c r="F67" t="s">
        <v>31</v>
      </c>
      <c r="G67" t="s">
        <v>112</v>
      </c>
      <c r="H67" t="s">
        <v>113</v>
      </c>
      <c r="I67" t="s">
        <v>49</v>
      </c>
      <c r="J67" t="s">
        <v>64</v>
      </c>
      <c r="K67" t="s">
        <v>157</v>
      </c>
      <c r="L67" t="s">
        <v>258</v>
      </c>
      <c r="M67" s="1">
        <v>53879.37</v>
      </c>
      <c r="N67">
        <v>7</v>
      </c>
      <c r="O67" s="2">
        <v>0.15</v>
      </c>
      <c r="P67" s="1">
        <v>8144.86</v>
      </c>
      <c r="Q67" t="s">
        <v>38</v>
      </c>
      <c r="R67" t="s">
        <v>120</v>
      </c>
    </row>
    <row r="68" spans="1:18" x14ac:dyDescent="0.3">
      <c r="A68">
        <v>1067</v>
      </c>
      <c r="B68" s="3">
        <v>45692</v>
      </c>
      <c r="C68" s="3">
        <v>45698</v>
      </c>
      <c r="D68" t="s">
        <v>259</v>
      </c>
      <c r="E68" t="s">
        <v>260</v>
      </c>
      <c r="F68" t="s">
        <v>31</v>
      </c>
      <c r="G68" t="s">
        <v>112</v>
      </c>
      <c r="H68" t="s">
        <v>113</v>
      </c>
      <c r="I68" t="s">
        <v>49</v>
      </c>
      <c r="J68" t="s">
        <v>24</v>
      </c>
      <c r="K68" t="s">
        <v>25</v>
      </c>
      <c r="L68" t="s">
        <v>261</v>
      </c>
      <c r="M68" s="1">
        <v>37259.96</v>
      </c>
      <c r="N68">
        <v>8</v>
      </c>
      <c r="O68" s="2">
        <v>0.1</v>
      </c>
      <c r="P68" s="1">
        <v>5114.3</v>
      </c>
      <c r="Q68" t="s">
        <v>67</v>
      </c>
      <c r="R68" t="s">
        <v>39</v>
      </c>
    </row>
    <row r="69" spans="1:18" x14ac:dyDescent="0.3">
      <c r="A69">
        <v>1068</v>
      </c>
      <c r="B69" s="3">
        <v>45981</v>
      </c>
      <c r="C69" s="3">
        <v>45986</v>
      </c>
      <c r="D69" t="s">
        <v>262</v>
      </c>
      <c r="E69" t="s">
        <v>168</v>
      </c>
      <c r="F69" t="s">
        <v>20</v>
      </c>
      <c r="G69" t="s">
        <v>85</v>
      </c>
      <c r="H69" t="s">
        <v>86</v>
      </c>
      <c r="I69" t="s">
        <v>49</v>
      </c>
      <c r="J69" t="s">
        <v>35</v>
      </c>
      <c r="K69" t="s">
        <v>59</v>
      </c>
      <c r="L69" t="s">
        <v>263</v>
      </c>
      <c r="M69" s="1">
        <v>2915.56</v>
      </c>
      <c r="N69">
        <v>7</v>
      </c>
      <c r="O69" s="2">
        <v>0.1</v>
      </c>
      <c r="P69" s="1">
        <v>426.4</v>
      </c>
      <c r="Q69" t="s">
        <v>74</v>
      </c>
      <c r="R69" t="s">
        <v>120</v>
      </c>
    </row>
    <row r="70" spans="1:18" x14ac:dyDescent="0.3">
      <c r="A70">
        <v>1069</v>
      </c>
      <c r="B70" s="3">
        <v>45640</v>
      </c>
      <c r="C70" s="3">
        <v>45641</v>
      </c>
      <c r="D70" t="s">
        <v>264</v>
      </c>
      <c r="E70" t="s">
        <v>265</v>
      </c>
      <c r="F70" t="s">
        <v>20</v>
      </c>
      <c r="G70" t="s">
        <v>56</v>
      </c>
      <c r="H70" t="s">
        <v>57</v>
      </c>
      <c r="I70" t="s">
        <v>58</v>
      </c>
      <c r="J70" t="s">
        <v>64</v>
      </c>
      <c r="K70" t="s">
        <v>157</v>
      </c>
      <c r="L70" t="s">
        <v>266</v>
      </c>
      <c r="M70" s="1">
        <v>85404.2</v>
      </c>
      <c r="N70">
        <v>6</v>
      </c>
      <c r="O70" s="2">
        <v>0</v>
      </c>
      <c r="P70" s="1">
        <v>10408.68</v>
      </c>
      <c r="Q70" t="s">
        <v>61</v>
      </c>
      <c r="R70" t="s">
        <v>28</v>
      </c>
    </row>
    <row r="71" spans="1:18" x14ac:dyDescent="0.3">
      <c r="A71">
        <v>1070</v>
      </c>
      <c r="B71" s="3">
        <v>45857</v>
      </c>
      <c r="C71" s="3">
        <v>45858</v>
      </c>
      <c r="D71" t="s">
        <v>267</v>
      </c>
      <c r="E71" t="s">
        <v>268</v>
      </c>
      <c r="F71" t="s">
        <v>46</v>
      </c>
      <c r="G71" t="s">
        <v>118</v>
      </c>
      <c r="H71" t="s">
        <v>118</v>
      </c>
      <c r="I71" t="s">
        <v>34</v>
      </c>
      <c r="J71" t="s">
        <v>35</v>
      </c>
      <c r="K71" t="s">
        <v>129</v>
      </c>
      <c r="L71" t="s">
        <v>269</v>
      </c>
      <c r="M71" s="1">
        <v>714.55</v>
      </c>
      <c r="N71">
        <v>6</v>
      </c>
      <c r="O71" s="2">
        <v>0.3</v>
      </c>
      <c r="P71" s="1">
        <v>-2.74</v>
      </c>
      <c r="Q71" t="s">
        <v>67</v>
      </c>
      <c r="R71" t="s">
        <v>53</v>
      </c>
    </row>
    <row r="72" spans="1:18" x14ac:dyDescent="0.3">
      <c r="A72">
        <v>1071</v>
      </c>
      <c r="B72" s="3">
        <v>45748</v>
      </c>
      <c r="C72" s="3">
        <v>45751</v>
      </c>
      <c r="D72" t="s">
        <v>231</v>
      </c>
      <c r="E72" t="s">
        <v>270</v>
      </c>
      <c r="F72" t="s">
        <v>31</v>
      </c>
      <c r="G72" t="s">
        <v>107</v>
      </c>
      <c r="H72" t="s">
        <v>108</v>
      </c>
      <c r="I72" t="s">
        <v>34</v>
      </c>
      <c r="J72" t="s">
        <v>24</v>
      </c>
      <c r="K72" t="s">
        <v>72</v>
      </c>
      <c r="L72" t="s">
        <v>271</v>
      </c>
      <c r="M72" s="1">
        <v>21223.55</v>
      </c>
      <c r="N72">
        <v>1</v>
      </c>
      <c r="O72" s="2">
        <v>0.2</v>
      </c>
      <c r="P72" s="1">
        <v>210.92</v>
      </c>
      <c r="Q72" t="s">
        <v>67</v>
      </c>
      <c r="R72" t="s">
        <v>28</v>
      </c>
    </row>
    <row r="73" spans="1:18" x14ac:dyDescent="0.3">
      <c r="A73">
        <v>1072</v>
      </c>
      <c r="B73" s="3">
        <v>45789</v>
      </c>
      <c r="C73" s="3">
        <v>45792</v>
      </c>
      <c r="D73" t="s">
        <v>272</v>
      </c>
      <c r="E73" t="s">
        <v>273</v>
      </c>
      <c r="F73" t="s">
        <v>31</v>
      </c>
      <c r="G73" t="s">
        <v>47</v>
      </c>
      <c r="H73" t="s">
        <v>48</v>
      </c>
      <c r="I73" t="s">
        <v>49</v>
      </c>
      <c r="J73" t="s">
        <v>24</v>
      </c>
      <c r="K73" t="s">
        <v>72</v>
      </c>
      <c r="L73" t="s">
        <v>274</v>
      </c>
      <c r="M73" s="1">
        <v>70321.2</v>
      </c>
      <c r="N73">
        <v>2</v>
      </c>
      <c r="O73" s="2">
        <v>0.15</v>
      </c>
      <c r="P73" s="1">
        <v>14803.71</v>
      </c>
      <c r="Q73" t="s">
        <v>67</v>
      </c>
      <c r="R73" t="s">
        <v>39</v>
      </c>
    </row>
    <row r="74" spans="1:18" x14ac:dyDescent="0.3">
      <c r="A74">
        <v>1073</v>
      </c>
      <c r="B74" s="3">
        <v>45409</v>
      </c>
      <c r="C74" s="3">
        <v>45413</v>
      </c>
      <c r="D74" t="s">
        <v>275</v>
      </c>
      <c r="E74" t="s">
        <v>197</v>
      </c>
      <c r="F74" t="s">
        <v>46</v>
      </c>
      <c r="G74" t="s">
        <v>107</v>
      </c>
      <c r="H74" t="s">
        <v>108</v>
      </c>
      <c r="I74" t="s">
        <v>34</v>
      </c>
      <c r="J74" t="s">
        <v>24</v>
      </c>
      <c r="K74" t="s">
        <v>212</v>
      </c>
      <c r="L74" t="s">
        <v>276</v>
      </c>
      <c r="M74" s="1">
        <v>64022.78</v>
      </c>
      <c r="N74">
        <v>9</v>
      </c>
      <c r="O74" s="2">
        <v>0</v>
      </c>
      <c r="P74" s="1">
        <v>10256.17</v>
      </c>
      <c r="Q74" t="s">
        <v>27</v>
      </c>
      <c r="R74" t="s">
        <v>53</v>
      </c>
    </row>
    <row r="75" spans="1:18" x14ac:dyDescent="0.3">
      <c r="A75">
        <v>1074</v>
      </c>
      <c r="B75" s="3">
        <v>45958</v>
      </c>
      <c r="C75" s="3">
        <v>45960</v>
      </c>
      <c r="D75" t="s">
        <v>277</v>
      </c>
      <c r="E75" t="s">
        <v>278</v>
      </c>
      <c r="F75" t="s">
        <v>20</v>
      </c>
      <c r="G75" t="s">
        <v>102</v>
      </c>
      <c r="H75" t="s">
        <v>103</v>
      </c>
      <c r="I75" t="s">
        <v>58</v>
      </c>
      <c r="J75" t="s">
        <v>64</v>
      </c>
      <c r="K75" t="s">
        <v>104</v>
      </c>
      <c r="L75" t="s">
        <v>279</v>
      </c>
      <c r="M75" s="1">
        <v>30271.919999999998</v>
      </c>
      <c r="N75">
        <v>2</v>
      </c>
      <c r="O75" s="2">
        <v>0</v>
      </c>
      <c r="P75" s="1">
        <v>7527.64</v>
      </c>
      <c r="Q75" t="s">
        <v>82</v>
      </c>
      <c r="R75" t="s">
        <v>28</v>
      </c>
    </row>
    <row r="76" spans="1:18" x14ac:dyDescent="0.3">
      <c r="A76">
        <v>1075</v>
      </c>
      <c r="B76" s="3">
        <v>45528</v>
      </c>
      <c r="C76" s="3">
        <v>45532</v>
      </c>
      <c r="D76" t="s">
        <v>280</v>
      </c>
      <c r="E76" t="s">
        <v>281</v>
      </c>
      <c r="F76" t="s">
        <v>46</v>
      </c>
      <c r="G76" t="s">
        <v>118</v>
      </c>
      <c r="H76" t="s">
        <v>118</v>
      </c>
      <c r="I76" t="s">
        <v>34</v>
      </c>
      <c r="J76" t="s">
        <v>35</v>
      </c>
      <c r="K76" t="s">
        <v>59</v>
      </c>
      <c r="L76" t="s">
        <v>282</v>
      </c>
      <c r="M76" s="1">
        <v>50608.27</v>
      </c>
      <c r="N76">
        <v>7</v>
      </c>
      <c r="O76" s="2">
        <v>0.3</v>
      </c>
      <c r="P76" s="1">
        <v>3331.61</v>
      </c>
      <c r="Q76" t="s">
        <v>38</v>
      </c>
      <c r="R76" t="s">
        <v>120</v>
      </c>
    </row>
    <row r="77" spans="1:18" x14ac:dyDescent="0.3">
      <c r="A77">
        <v>1076</v>
      </c>
      <c r="B77" s="3">
        <v>45685</v>
      </c>
      <c r="C77" s="3">
        <v>45688</v>
      </c>
      <c r="D77" t="s">
        <v>283</v>
      </c>
      <c r="E77" t="s">
        <v>284</v>
      </c>
      <c r="F77" t="s">
        <v>20</v>
      </c>
      <c r="G77" t="s">
        <v>32</v>
      </c>
      <c r="H77" t="s">
        <v>33</v>
      </c>
      <c r="I77" t="s">
        <v>34</v>
      </c>
      <c r="J77" t="s">
        <v>64</v>
      </c>
      <c r="K77" t="s">
        <v>157</v>
      </c>
      <c r="L77" t="s">
        <v>285</v>
      </c>
      <c r="M77" s="1">
        <v>47993.07</v>
      </c>
      <c r="N77">
        <v>5</v>
      </c>
      <c r="O77" s="2">
        <v>0.15</v>
      </c>
      <c r="P77" s="1">
        <v>1843.9</v>
      </c>
      <c r="Q77" t="s">
        <v>27</v>
      </c>
      <c r="R77" t="s">
        <v>28</v>
      </c>
    </row>
    <row r="78" spans="1:18" x14ac:dyDescent="0.3">
      <c r="A78">
        <v>1077</v>
      </c>
      <c r="B78" s="3">
        <v>45348</v>
      </c>
      <c r="C78" s="3">
        <v>45349</v>
      </c>
      <c r="D78" t="s">
        <v>286</v>
      </c>
      <c r="E78" t="s">
        <v>287</v>
      </c>
      <c r="F78" t="s">
        <v>46</v>
      </c>
      <c r="G78" t="s">
        <v>56</v>
      </c>
      <c r="H78" t="s">
        <v>57</v>
      </c>
      <c r="I78" t="s">
        <v>58</v>
      </c>
      <c r="J78" t="s">
        <v>64</v>
      </c>
      <c r="K78" t="s">
        <v>188</v>
      </c>
      <c r="L78" t="s">
        <v>288</v>
      </c>
      <c r="M78" s="1">
        <v>51495.03</v>
      </c>
      <c r="N78">
        <v>10</v>
      </c>
      <c r="O78" s="2">
        <v>0.3</v>
      </c>
      <c r="P78" s="1">
        <v>4150.09</v>
      </c>
      <c r="Q78" t="s">
        <v>82</v>
      </c>
      <c r="R78" t="s">
        <v>120</v>
      </c>
    </row>
    <row r="79" spans="1:18" x14ac:dyDescent="0.3">
      <c r="A79">
        <v>1078</v>
      </c>
      <c r="B79" s="3">
        <v>45357</v>
      </c>
      <c r="C79" s="3">
        <v>45359</v>
      </c>
      <c r="D79" t="s">
        <v>289</v>
      </c>
      <c r="E79" t="s">
        <v>290</v>
      </c>
      <c r="F79" t="s">
        <v>20</v>
      </c>
      <c r="G79" t="s">
        <v>90</v>
      </c>
      <c r="H79" t="s">
        <v>91</v>
      </c>
      <c r="I79" t="s">
        <v>23</v>
      </c>
      <c r="J79" t="s">
        <v>24</v>
      </c>
      <c r="K79" t="s">
        <v>50</v>
      </c>
      <c r="L79" t="s">
        <v>291</v>
      </c>
      <c r="M79" s="1">
        <v>55490.94</v>
      </c>
      <c r="N79">
        <v>6</v>
      </c>
      <c r="O79" s="2">
        <v>0.25</v>
      </c>
      <c r="P79" s="1">
        <v>3918.68</v>
      </c>
      <c r="Q79" t="s">
        <v>74</v>
      </c>
      <c r="R79" t="s">
        <v>39</v>
      </c>
    </row>
    <row r="80" spans="1:18" x14ac:dyDescent="0.3">
      <c r="A80">
        <v>1079</v>
      </c>
      <c r="B80" s="3">
        <v>45730</v>
      </c>
      <c r="C80" s="3">
        <v>45731</v>
      </c>
      <c r="D80" t="s">
        <v>292</v>
      </c>
      <c r="E80" t="s">
        <v>293</v>
      </c>
      <c r="F80" t="s">
        <v>31</v>
      </c>
      <c r="G80" t="s">
        <v>95</v>
      </c>
      <c r="H80" t="s">
        <v>22</v>
      </c>
      <c r="I80" t="s">
        <v>23</v>
      </c>
      <c r="J80" t="s">
        <v>64</v>
      </c>
      <c r="K80" t="s">
        <v>157</v>
      </c>
      <c r="L80" t="s">
        <v>294</v>
      </c>
      <c r="M80" s="1">
        <v>20950.32</v>
      </c>
      <c r="N80">
        <v>3</v>
      </c>
      <c r="O80" s="2">
        <v>0.1</v>
      </c>
      <c r="P80" s="1">
        <v>2916.8</v>
      </c>
      <c r="Q80" t="s">
        <v>52</v>
      </c>
      <c r="R80" t="s">
        <v>120</v>
      </c>
    </row>
    <row r="81" spans="1:18" x14ac:dyDescent="0.3">
      <c r="A81">
        <v>1080</v>
      </c>
      <c r="B81" s="3">
        <v>45988</v>
      </c>
      <c r="C81" s="3">
        <v>45993</v>
      </c>
      <c r="D81" t="s">
        <v>295</v>
      </c>
      <c r="E81" t="s">
        <v>94</v>
      </c>
      <c r="F81" t="s">
        <v>31</v>
      </c>
      <c r="G81" t="s">
        <v>102</v>
      </c>
      <c r="H81" t="s">
        <v>103</v>
      </c>
      <c r="I81" t="s">
        <v>58</v>
      </c>
      <c r="J81" t="s">
        <v>64</v>
      </c>
      <c r="K81" t="s">
        <v>104</v>
      </c>
      <c r="L81" t="s">
        <v>296</v>
      </c>
      <c r="M81" s="1">
        <v>42567.32</v>
      </c>
      <c r="N81">
        <v>6</v>
      </c>
      <c r="O81" s="2">
        <v>0.3</v>
      </c>
      <c r="P81" s="1">
        <v>-243.05</v>
      </c>
      <c r="Q81" t="s">
        <v>74</v>
      </c>
      <c r="R81" t="s">
        <v>28</v>
      </c>
    </row>
    <row r="82" spans="1:18" x14ac:dyDescent="0.3">
      <c r="A82">
        <v>1081</v>
      </c>
      <c r="B82" s="3">
        <v>45792</v>
      </c>
      <c r="C82" s="3">
        <v>45795</v>
      </c>
      <c r="D82" t="s">
        <v>297</v>
      </c>
      <c r="E82" t="s">
        <v>293</v>
      </c>
      <c r="F82" t="s">
        <v>46</v>
      </c>
      <c r="G82" t="s">
        <v>112</v>
      </c>
      <c r="H82" t="s">
        <v>113</v>
      </c>
      <c r="I82" t="s">
        <v>49</v>
      </c>
      <c r="J82" t="s">
        <v>64</v>
      </c>
      <c r="K82" t="s">
        <v>80</v>
      </c>
      <c r="L82" t="s">
        <v>298</v>
      </c>
      <c r="M82" s="1">
        <v>84333.1</v>
      </c>
      <c r="N82">
        <v>2</v>
      </c>
      <c r="O82" s="2">
        <v>0</v>
      </c>
      <c r="P82" s="1">
        <v>22053.31</v>
      </c>
      <c r="Q82" t="s">
        <v>82</v>
      </c>
      <c r="R82" t="s">
        <v>39</v>
      </c>
    </row>
    <row r="83" spans="1:18" x14ac:dyDescent="0.3">
      <c r="A83">
        <v>1082</v>
      </c>
      <c r="B83" s="3">
        <v>45350</v>
      </c>
      <c r="C83" s="3">
        <v>45353</v>
      </c>
      <c r="D83" t="s">
        <v>100</v>
      </c>
      <c r="E83" t="s">
        <v>299</v>
      </c>
      <c r="F83" t="s">
        <v>46</v>
      </c>
      <c r="G83" t="s">
        <v>56</v>
      </c>
      <c r="H83" t="s">
        <v>57</v>
      </c>
      <c r="I83" t="s">
        <v>58</v>
      </c>
      <c r="J83" t="s">
        <v>35</v>
      </c>
      <c r="K83" t="s">
        <v>42</v>
      </c>
      <c r="L83" t="s">
        <v>300</v>
      </c>
      <c r="M83" s="1">
        <v>45758.18</v>
      </c>
      <c r="N83">
        <v>10</v>
      </c>
      <c r="O83" s="2">
        <v>0.2</v>
      </c>
      <c r="P83" s="1">
        <v>9451.4599999999991</v>
      </c>
      <c r="Q83" t="s">
        <v>38</v>
      </c>
      <c r="R83" t="s">
        <v>120</v>
      </c>
    </row>
    <row r="84" spans="1:18" x14ac:dyDescent="0.3">
      <c r="A84">
        <v>1083</v>
      </c>
      <c r="B84" s="3">
        <v>45605</v>
      </c>
      <c r="C84" s="3">
        <v>45606</v>
      </c>
      <c r="D84" t="s">
        <v>204</v>
      </c>
      <c r="E84" t="s">
        <v>301</v>
      </c>
      <c r="F84" t="s">
        <v>46</v>
      </c>
      <c r="G84" t="s">
        <v>32</v>
      </c>
      <c r="H84" t="s">
        <v>33</v>
      </c>
      <c r="I84" t="s">
        <v>34</v>
      </c>
      <c r="J84" t="s">
        <v>64</v>
      </c>
      <c r="K84" t="s">
        <v>80</v>
      </c>
      <c r="L84" t="s">
        <v>302</v>
      </c>
      <c r="M84" s="1">
        <v>78532.259999999995</v>
      </c>
      <c r="N84">
        <v>1</v>
      </c>
      <c r="O84" s="2">
        <v>0.3</v>
      </c>
      <c r="P84" s="1">
        <v>7168.41</v>
      </c>
      <c r="Q84" t="s">
        <v>67</v>
      </c>
      <c r="R84" t="s">
        <v>53</v>
      </c>
    </row>
    <row r="85" spans="1:18" x14ac:dyDescent="0.3">
      <c r="A85">
        <v>1084</v>
      </c>
      <c r="B85" s="3">
        <v>45438</v>
      </c>
      <c r="C85" s="3">
        <v>45443</v>
      </c>
      <c r="D85" t="s">
        <v>272</v>
      </c>
      <c r="E85" t="s">
        <v>303</v>
      </c>
      <c r="F85" t="s">
        <v>20</v>
      </c>
      <c r="G85" t="s">
        <v>102</v>
      </c>
      <c r="H85" t="s">
        <v>103</v>
      </c>
      <c r="I85" t="s">
        <v>58</v>
      </c>
      <c r="J85" t="s">
        <v>64</v>
      </c>
      <c r="K85" t="s">
        <v>157</v>
      </c>
      <c r="L85" t="s">
        <v>304</v>
      </c>
      <c r="M85" s="1">
        <v>2876.59</v>
      </c>
      <c r="N85">
        <v>10</v>
      </c>
      <c r="O85" s="2">
        <v>0.05</v>
      </c>
      <c r="P85" s="1">
        <v>316.13</v>
      </c>
      <c r="Q85" t="s">
        <v>67</v>
      </c>
      <c r="R85" t="s">
        <v>53</v>
      </c>
    </row>
    <row r="86" spans="1:18" x14ac:dyDescent="0.3">
      <c r="A86">
        <v>1085</v>
      </c>
      <c r="B86" s="3">
        <v>45754</v>
      </c>
      <c r="C86" s="3">
        <v>45758</v>
      </c>
      <c r="D86" t="s">
        <v>305</v>
      </c>
      <c r="E86" t="s">
        <v>306</v>
      </c>
      <c r="F86" t="s">
        <v>46</v>
      </c>
      <c r="G86" t="s">
        <v>90</v>
      </c>
      <c r="H86" t="s">
        <v>91</v>
      </c>
      <c r="I86" t="s">
        <v>23</v>
      </c>
      <c r="J86" t="s">
        <v>24</v>
      </c>
      <c r="K86" t="s">
        <v>212</v>
      </c>
      <c r="L86" t="s">
        <v>307</v>
      </c>
      <c r="M86" s="1">
        <v>68676.38</v>
      </c>
      <c r="N86">
        <v>5</v>
      </c>
      <c r="O86" s="2">
        <v>0</v>
      </c>
      <c r="P86" s="1">
        <v>9079.14</v>
      </c>
      <c r="Q86" t="s">
        <v>74</v>
      </c>
      <c r="R86" t="s">
        <v>120</v>
      </c>
    </row>
    <row r="87" spans="1:18" x14ac:dyDescent="0.3">
      <c r="A87">
        <v>1086</v>
      </c>
      <c r="B87" s="3">
        <v>45618</v>
      </c>
      <c r="C87" s="3">
        <v>45624</v>
      </c>
      <c r="D87" t="s">
        <v>308</v>
      </c>
      <c r="E87" t="s">
        <v>309</v>
      </c>
      <c r="F87" t="s">
        <v>31</v>
      </c>
      <c r="G87" t="s">
        <v>85</v>
      </c>
      <c r="H87" t="s">
        <v>86</v>
      </c>
      <c r="I87" t="s">
        <v>49</v>
      </c>
      <c r="J87" t="s">
        <v>64</v>
      </c>
      <c r="K87" t="s">
        <v>157</v>
      </c>
      <c r="L87" t="s">
        <v>310</v>
      </c>
      <c r="M87" s="1">
        <v>66597.039999999994</v>
      </c>
      <c r="N87">
        <v>9</v>
      </c>
      <c r="O87" s="2">
        <v>0</v>
      </c>
      <c r="P87" s="1">
        <v>16535.66</v>
      </c>
      <c r="Q87" t="s">
        <v>74</v>
      </c>
      <c r="R87" t="s">
        <v>28</v>
      </c>
    </row>
    <row r="88" spans="1:18" x14ac:dyDescent="0.3">
      <c r="A88">
        <v>1087</v>
      </c>
      <c r="B88" s="3">
        <v>45455</v>
      </c>
      <c r="C88" s="3">
        <v>45456</v>
      </c>
      <c r="D88" t="s">
        <v>311</v>
      </c>
      <c r="E88" t="s">
        <v>312</v>
      </c>
      <c r="F88" t="s">
        <v>46</v>
      </c>
      <c r="G88" t="s">
        <v>102</v>
      </c>
      <c r="H88" t="s">
        <v>103</v>
      </c>
      <c r="I88" t="s">
        <v>58</v>
      </c>
      <c r="J88" t="s">
        <v>64</v>
      </c>
      <c r="K88" t="s">
        <v>104</v>
      </c>
      <c r="L88" t="s">
        <v>313</v>
      </c>
      <c r="M88" s="1">
        <v>35045.72</v>
      </c>
      <c r="N88">
        <v>1</v>
      </c>
      <c r="O88" s="2">
        <v>0.15</v>
      </c>
      <c r="P88" s="1">
        <v>2792.74</v>
      </c>
      <c r="Q88" t="s">
        <v>82</v>
      </c>
      <c r="R88" t="s">
        <v>53</v>
      </c>
    </row>
    <row r="89" spans="1:18" x14ac:dyDescent="0.3">
      <c r="A89">
        <v>1088</v>
      </c>
      <c r="B89" s="3">
        <v>45774</v>
      </c>
      <c r="C89" s="3">
        <v>45778</v>
      </c>
      <c r="D89" t="s">
        <v>314</v>
      </c>
      <c r="E89" t="s">
        <v>79</v>
      </c>
      <c r="F89" t="s">
        <v>20</v>
      </c>
      <c r="G89" t="s">
        <v>107</v>
      </c>
      <c r="H89" t="s">
        <v>108</v>
      </c>
      <c r="I89" t="s">
        <v>34</v>
      </c>
      <c r="J89" t="s">
        <v>35</v>
      </c>
      <c r="K89" t="s">
        <v>59</v>
      </c>
      <c r="L89" t="s">
        <v>315</v>
      </c>
      <c r="M89" s="1">
        <v>45068.72</v>
      </c>
      <c r="N89">
        <v>1</v>
      </c>
      <c r="O89" s="2">
        <v>0</v>
      </c>
      <c r="P89" s="1">
        <v>10598.38</v>
      </c>
      <c r="Q89" t="s">
        <v>74</v>
      </c>
      <c r="R89" t="s">
        <v>28</v>
      </c>
    </row>
    <row r="90" spans="1:18" x14ac:dyDescent="0.3">
      <c r="A90">
        <v>1089</v>
      </c>
      <c r="B90" s="3">
        <v>46011</v>
      </c>
      <c r="C90" s="3">
        <v>46017</v>
      </c>
      <c r="D90" t="s">
        <v>316</v>
      </c>
      <c r="E90" t="s">
        <v>45</v>
      </c>
      <c r="F90" t="s">
        <v>20</v>
      </c>
      <c r="G90" t="s">
        <v>107</v>
      </c>
      <c r="H90" t="s">
        <v>108</v>
      </c>
      <c r="I90" t="s">
        <v>34</v>
      </c>
      <c r="J90" t="s">
        <v>35</v>
      </c>
      <c r="K90" t="s">
        <v>36</v>
      </c>
      <c r="L90" t="s">
        <v>317</v>
      </c>
      <c r="M90" s="1">
        <v>20365.080000000002</v>
      </c>
      <c r="N90">
        <v>10</v>
      </c>
      <c r="O90" s="2">
        <v>0.05</v>
      </c>
      <c r="P90" s="1">
        <v>5114.59</v>
      </c>
      <c r="Q90" t="s">
        <v>52</v>
      </c>
      <c r="R90" t="s">
        <v>39</v>
      </c>
    </row>
    <row r="91" spans="1:18" x14ac:dyDescent="0.3">
      <c r="A91">
        <v>1090</v>
      </c>
      <c r="B91" s="3">
        <v>45926</v>
      </c>
      <c r="C91" s="3">
        <v>45932</v>
      </c>
      <c r="D91" t="s">
        <v>318</v>
      </c>
      <c r="E91" t="s">
        <v>319</v>
      </c>
      <c r="F91" t="s">
        <v>46</v>
      </c>
      <c r="G91" t="s">
        <v>90</v>
      </c>
      <c r="H91" t="s">
        <v>91</v>
      </c>
      <c r="I91" t="s">
        <v>23</v>
      </c>
      <c r="J91" t="s">
        <v>35</v>
      </c>
      <c r="K91" t="s">
        <v>42</v>
      </c>
      <c r="L91" t="s">
        <v>320</v>
      </c>
      <c r="M91" s="1">
        <v>19391.189999999999</v>
      </c>
      <c r="N91">
        <v>7</v>
      </c>
      <c r="O91" s="2">
        <v>0.2</v>
      </c>
      <c r="P91" s="1">
        <v>4100.43</v>
      </c>
      <c r="Q91" t="s">
        <v>61</v>
      </c>
      <c r="R91" t="s">
        <v>39</v>
      </c>
    </row>
    <row r="92" spans="1:18" x14ac:dyDescent="0.3">
      <c r="A92">
        <v>1091</v>
      </c>
      <c r="B92" s="3">
        <v>45778</v>
      </c>
      <c r="C92" s="3">
        <v>45782</v>
      </c>
      <c r="D92" t="s">
        <v>137</v>
      </c>
      <c r="E92" t="s">
        <v>200</v>
      </c>
      <c r="F92" t="s">
        <v>46</v>
      </c>
      <c r="G92" t="s">
        <v>56</v>
      </c>
      <c r="H92" t="s">
        <v>57</v>
      </c>
      <c r="I92" t="s">
        <v>58</v>
      </c>
      <c r="J92" t="s">
        <v>64</v>
      </c>
      <c r="K92" t="s">
        <v>157</v>
      </c>
      <c r="L92" t="s">
        <v>321</v>
      </c>
      <c r="M92" s="1">
        <v>29949.34</v>
      </c>
      <c r="N92">
        <v>6</v>
      </c>
      <c r="O92" s="2">
        <v>0.3</v>
      </c>
      <c r="P92" s="1">
        <v>358.35</v>
      </c>
      <c r="Q92" t="s">
        <v>61</v>
      </c>
      <c r="R92" t="s">
        <v>39</v>
      </c>
    </row>
    <row r="93" spans="1:18" x14ac:dyDescent="0.3">
      <c r="A93">
        <v>1092</v>
      </c>
      <c r="B93" s="3">
        <v>45980</v>
      </c>
      <c r="C93" s="3">
        <v>45983</v>
      </c>
      <c r="D93" t="s">
        <v>322</v>
      </c>
      <c r="E93" t="s">
        <v>323</v>
      </c>
      <c r="F93" t="s">
        <v>31</v>
      </c>
      <c r="G93" t="s">
        <v>95</v>
      </c>
      <c r="H93" t="s">
        <v>22</v>
      </c>
      <c r="I93" t="s">
        <v>23</v>
      </c>
      <c r="J93" t="s">
        <v>35</v>
      </c>
      <c r="K93" t="s">
        <v>59</v>
      </c>
      <c r="L93" t="s">
        <v>324</v>
      </c>
      <c r="M93" s="1">
        <v>76380.95</v>
      </c>
      <c r="N93">
        <v>9</v>
      </c>
      <c r="O93" s="2">
        <v>0.1</v>
      </c>
      <c r="P93" s="1">
        <v>17342.240000000002</v>
      </c>
      <c r="Q93" t="s">
        <v>82</v>
      </c>
      <c r="R93" t="s">
        <v>120</v>
      </c>
    </row>
    <row r="94" spans="1:18" x14ac:dyDescent="0.3">
      <c r="A94">
        <v>1093</v>
      </c>
      <c r="B94" s="3">
        <v>45903</v>
      </c>
      <c r="C94" s="3">
        <v>45904</v>
      </c>
      <c r="D94" t="s">
        <v>325</v>
      </c>
      <c r="E94" t="s">
        <v>326</v>
      </c>
      <c r="F94" t="s">
        <v>46</v>
      </c>
      <c r="G94" t="s">
        <v>107</v>
      </c>
      <c r="H94" t="s">
        <v>108</v>
      </c>
      <c r="I94" t="s">
        <v>34</v>
      </c>
      <c r="J94" t="s">
        <v>64</v>
      </c>
      <c r="K94" t="s">
        <v>157</v>
      </c>
      <c r="L94" t="s">
        <v>327</v>
      </c>
      <c r="M94" s="1">
        <v>80148.58</v>
      </c>
      <c r="N94">
        <v>1</v>
      </c>
      <c r="O94" s="2">
        <v>0.25</v>
      </c>
      <c r="P94" s="1">
        <v>12295.33</v>
      </c>
      <c r="Q94" t="s">
        <v>27</v>
      </c>
      <c r="R94" t="s">
        <v>120</v>
      </c>
    </row>
    <row r="95" spans="1:18" x14ac:dyDescent="0.3">
      <c r="A95">
        <v>1094</v>
      </c>
      <c r="B95" s="3">
        <v>45345</v>
      </c>
      <c r="C95" s="3">
        <v>45350</v>
      </c>
      <c r="D95" t="s">
        <v>83</v>
      </c>
      <c r="E95" t="s">
        <v>328</v>
      </c>
      <c r="F95" t="s">
        <v>31</v>
      </c>
      <c r="G95" t="s">
        <v>118</v>
      </c>
      <c r="H95" t="s">
        <v>118</v>
      </c>
      <c r="I95" t="s">
        <v>34</v>
      </c>
      <c r="J95" t="s">
        <v>64</v>
      </c>
      <c r="K95" t="s">
        <v>157</v>
      </c>
      <c r="L95" t="s">
        <v>329</v>
      </c>
      <c r="M95" s="1">
        <v>34382.629999999997</v>
      </c>
      <c r="N95">
        <v>8</v>
      </c>
      <c r="O95" s="2">
        <v>0.15</v>
      </c>
      <c r="P95" s="1">
        <v>7373.37</v>
      </c>
      <c r="Q95" t="s">
        <v>61</v>
      </c>
      <c r="R95" t="s">
        <v>39</v>
      </c>
    </row>
    <row r="96" spans="1:18" x14ac:dyDescent="0.3">
      <c r="A96">
        <v>1095</v>
      </c>
      <c r="B96" s="3">
        <v>45668</v>
      </c>
      <c r="C96" s="3">
        <v>45672</v>
      </c>
      <c r="D96" t="s">
        <v>330</v>
      </c>
      <c r="E96" t="s">
        <v>331</v>
      </c>
      <c r="F96" t="s">
        <v>20</v>
      </c>
      <c r="G96" t="s">
        <v>32</v>
      </c>
      <c r="H96" t="s">
        <v>33</v>
      </c>
      <c r="I96" t="s">
        <v>34</v>
      </c>
      <c r="J96" t="s">
        <v>64</v>
      </c>
      <c r="K96" t="s">
        <v>188</v>
      </c>
      <c r="L96" t="s">
        <v>332</v>
      </c>
      <c r="M96" s="1">
        <v>73143.22</v>
      </c>
      <c r="N96">
        <v>7</v>
      </c>
      <c r="O96" s="2">
        <v>0.2</v>
      </c>
      <c r="P96" s="1">
        <v>13234.49</v>
      </c>
      <c r="Q96" t="s">
        <v>115</v>
      </c>
      <c r="R96" t="s">
        <v>28</v>
      </c>
    </row>
    <row r="97" spans="1:18" x14ac:dyDescent="0.3">
      <c r="A97">
        <v>1096</v>
      </c>
      <c r="B97" s="3">
        <v>45397</v>
      </c>
      <c r="C97" s="3">
        <v>45403</v>
      </c>
      <c r="D97" t="s">
        <v>333</v>
      </c>
      <c r="E97" t="s">
        <v>111</v>
      </c>
      <c r="F97" t="s">
        <v>20</v>
      </c>
      <c r="G97" t="s">
        <v>56</v>
      </c>
      <c r="H97" t="s">
        <v>57</v>
      </c>
      <c r="I97" t="s">
        <v>58</v>
      </c>
      <c r="J97" t="s">
        <v>24</v>
      </c>
      <c r="K97" t="s">
        <v>72</v>
      </c>
      <c r="L97" t="s">
        <v>334</v>
      </c>
      <c r="M97" s="1">
        <v>24494.97</v>
      </c>
      <c r="N97">
        <v>9</v>
      </c>
      <c r="O97" s="2">
        <v>0.25</v>
      </c>
      <c r="P97" s="1">
        <v>1926.49</v>
      </c>
      <c r="Q97" t="s">
        <v>74</v>
      </c>
      <c r="R97" t="s">
        <v>53</v>
      </c>
    </row>
    <row r="98" spans="1:18" x14ac:dyDescent="0.3">
      <c r="A98">
        <v>1097</v>
      </c>
      <c r="B98" s="3">
        <v>45844</v>
      </c>
      <c r="C98" s="3">
        <v>45850</v>
      </c>
      <c r="D98" t="s">
        <v>140</v>
      </c>
      <c r="E98" t="s">
        <v>335</v>
      </c>
      <c r="F98" t="s">
        <v>31</v>
      </c>
      <c r="G98" t="s">
        <v>32</v>
      </c>
      <c r="H98" t="s">
        <v>33</v>
      </c>
      <c r="I98" t="s">
        <v>34</v>
      </c>
      <c r="J98" t="s">
        <v>35</v>
      </c>
      <c r="K98" t="s">
        <v>42</v>
      </c>
      <c r="L98" t="s">
        <v>336</v>
      </c>
      <c r="M98" s="1">
        <v>41655.550000000003</v>
      </c>
      <c r="N98">
        <v>5</v>
      </c>
      <c r="O98" s="2">
        <v>0.1</v>
      </c>
      <c r="P98" s="1">
        <v>9352.7800000000007</v>
      </c>
      <c r="Q98" t="s">
        <v>74</v>
      </c>
      <c r="R98" t="s">
        <v>28</v>
      </c>
    </row>
    <row r="99" spans="1:18" x14ac:dyDescent="0.3">
      <c r="A99">
        <v>1098</v>
      </c>
      <c r="B99" s="3">
        <v>45801</v>
      </c>
      <c r="C99" s="3">
        <v>45803</v>
      </c>
      <c r="D99" t="s">
        <v>337</v>
      </c>
      <c r="E99" t="s">
        <v>338</v>
      </c>
      <c r="F99" t="s">
        <v>31</v>
      </c>
      <c r="G99" t="s">
        <v>90</v>
      </c>
      <c r="H99" t="s">
        <v>91</v>
      </c>
      <c r="I99" t="s">
        <v>23</v>
      </c>
      <c r="J99" t="s">
        <v>35</v>
      </c>
      <c r="K99" t="s">
        <v>129</v>
      </c>
      <c r="L99" t="s">
        <v>339</v>
      </c>
      <c r="M99" s="1">
        <v>47929.37</v>
      </c>
      <c r="N99">
        <v>5</v>
      </c>
      <c r="O99" s="2">
        <v>0.2</v>
      </c>
      <c r="P99" s="1">
        <v>2660.3</v>
      </c>
      <c r="Q99" t="s">
        <v>82</v>
      </c>
      <c r="R99" t="s">
        <v>28</v>
      </c>
    </row>
    <row r="100" spans="1:18" x14ac:dyDescent="0.3">
      <c r="A100">
        <v>1099</v>
      </c>
      <c r="B100" s="3">
        <v>45747</v>
      </c>
      <c r="C100" s="3">
        <v>45750</v>
      </c>
      <c r="D100" t="s">
        <v>340</v>
      </c>
      <c r="E100" t="s">
        <v>323</v>
      </c>
      <c r="F100" t="s">
        <v>31</v>
      </c>
      <c r="G100" t="s">
        <v>70</v>
      </c>
      <c r="H100" t="s">
        <v>71</v>
      </c>
      <c r="I100" t="s">
        <v>58</v>
      </c>
      <c r="J100" t="s">
        <v>64</v>
      </c>
      <c r="K100" t="s">
        <v>104</v>
      </c>
      <c r="L100" t="s">
        <v>341</v>
      </c>
      <c r="M100" s="1">
        <v>79465.34</v>
      </c>
      <c r="N100">
        <v>4</v>
      </c>
      <c r="O100" s="2">
        <v>0.25</v>
      </c>
      <c r="P100" s="1">
        <v>7291.4</v>
      </c>
      <c r="Q100" t="s">
        <v>52</v>
      </c>
      <c r="R100" t="s">
        <v>120</v>
      </c>
    </row>
    <row r="101" spans="1:18" x14ac:dyDescent="0.3">
      <c r="A101">
        <v>1100</v>
      </c>
      <c r="B101" s="3">
        <v>45617</v>
      </c>
      <c r="C101" s="3">
        <v>45620</v>
      </c>
      <c r="D101" t="s">
        <v>342</v>
      </c>
      <c r="E101" t="s">
        <v>343</v>
      </c>
      <c r="F101" t="s">
        <v>31</v>
      </c>
      <c r="G101" t="s">
        <v>95</v>
      </c>
      <c r="H101" t="s">
        <v>22</v>
      </c>
      <c r="I101" t="s">
        <v>23</v>
      </c>
      <c r="J101" t="s">
        <v>64</v>
      </c>
      <c r="K101" t="s">
        <v>188</v>
      </c>
      <c r="L101" t="s">
        <v>344</v>
      </c>
      <c r="M101" s="1">
        <v>16326.25</v>
      </c>
      <c r="N101">
        <v>3</v>
      </c>
      <c r="O101" s="2">
        <v>0.25</v>
      </c>
      <c r="P101" s="1">
        <v>2888.91</v>
      </c>
      <c r="Q101" t="s">
        <v>61</v>
      </c>
      <c r="R101" t="s">
        <v>28</v>
      </c>
    </row>
    <row r="102" spans="1:18" x14ac:dyDescent="0.3">
      <c r="A102">
        <v>1101</v>
      </c>
      <c r="B102" s="3">
        <v>45470</v>
      </c>
      <c r="C102" s="3">
        <v>45475</v>
      </c>
      <c r="D102" t="s">
        <v>345</v>
      </c>
      <c r="E102" t="s">
        <v>346</v>
      </c>
      <c r="F102" t="s">
        <v>46</v>
      </c>
      <c r="G102" t="s">
        <v>112</v>
      </c>
      <c r="H102" t="s">
        <v>113</v>
      </c>
      <c r="I102" t="s">
        <v>49</v>
      </c>
      <c r="J102" t="s">
        <v>64</v>
      </c>
      <c r="K102" t="s">
        <v>157</v>
      </c>
      <c r="L102" t="s">
        <v>347</v>
      </c>
      <c r="M102" s="1">
        <v>24823.22</v>
      </c>
      <c r="N102">
        <v>5</v>
      </c>
      <c r="O102" s="2">
        <v>0.1</v>
      </c>
      <c r="P102" s="1">
        <v>1071.07</v>
      </c>
      <c r="Q102" t="s">
        <v>82</v>
      </c>
      <c r="R102" t="s">
        <v>39</v>
      </c>
    </row>
    <row r="103" spans="1:18" x14ac:dyDescent="0.3">
      <c r="A103">
        <v>1102</v>
      </c>
      <c r="B103" s="3">
        <v>45412</v>
      </c>
      <c r="C103" s="3">
        <v>45414</v>
      </c>
      <c r="D103" t="s">
        <v>348</v>
      </c>
      <c r="E103" t="s">
        <v>349</v>
      </c>
      <c r="F103" t="s">
        <v>31</v>
      </c>
      <c r="G103" t="s">
        <v>85</v>
      </c>
      <c r="H103" t="s">
        <v>86</v>
      </c>
      <c r="I103" t="s">
        <v>49</v>
      </c>
      <c r="J103" t="s">
        <v>35</v>
      </c>
      <c r="K103" t="s">
        <v>59</v>
      </c>
      <c r="L103" t="s">
        <v>350</v>
      </c>
      <c r="M103" s="1">
        <v>85262.51</v>
      </c>
      <c r="N103">
        <v>9</v>
      </c>
      <c r="O103" s="2">
        <v>0.05</v>
      </c>
      <c r="P103" s="1">
        <v>7200.26</v>
      </c>
      <c r="Q103" t="s">
        <v>115</v>
      </c>
      <c r="R103" t="s">
        <v>28</v>
      </c>
    </row>
    <row r="104" spans="1:18" x14ac:dyDescent="0.3">
      <c r="A104">
        <v>1103</v>
      </c>
      <c r="B104" s="3">
        <v>45565</v>
      </c>
      <c r="C104" s="3">
        <v>45571</v>
      </c>
      <c r="D104" t="s">
        <v>351</v>
      </c>
      <c r="E104" t="s">
        <v>331</v>
      </c>
      <c r="F104" t="s">
        <v>31</v>
      </c>
      <c r="G104" t="s">
        <v>107</v>
      </c>
      <c r="H104" t="s">
        <v>108</v>
      </c>
      <c r="I104" t="s">
        <v>34</v>
      </c>
      <c r="J104" t="s">
        <v>24</v>
      </c>
      <c r="K104" t="s">
        <v>212</v>
      </c>
      <c r="L104" t="s">
        <v>352</v>
      </c>
      <c r="M104" s="1">
        <v>8094.21</v>
      </c>
      <c r="N104">
        <v>9</v>
      </c>
      <c r="O104" s="2">
        <v>0.2</v>
      </c>
      <c r="P104" s="1">
        <v>988.5</v>
      </c>
      <c r="Q104" t="s">
        <v>61</v>
      </c>
      <c r="R104" t="s">
        <v>120</v>
      </c>
    </row>
    <row r="105" spans="1:18" x14ac:dyDescent="0.3">
      <c r="A105">
        <v>1104</v>
      </c>
      <c r="B105" s="3">
        <v>45612</v>
      </c>
      <c r="C105" s="3">
        <v>45616</v>
      </c>
      <c r="D105" t="s">
        <v>140</v>
      </c>
      <c r="E105" t="s">
        <v>353</v>
      </c>
      <c r="F105" t="s">
        <v>31</v>
      </c>
      <c r="G105" t="s">
        <v>85</v>
      </c>
      <c r="H105" t="s">
        <v>86</v>
      </c>
      <c r="I105" t="s">
        <v>49</v>
      </c>
      <c r="J105" t="s">
        <v>24</v>
      </c>
      <c r="K105" t="s">
        <v>25</v>
      </c>
      <c r="L105" t="s">
        <v>354</v>
      </c>
      <c r="M105" s="1">
        <v>1567.62</v>
      </c>
      <c r="N105">
        <v>10</v>
      </c>
      <c r="O105" s="2">
        <v>0.1</v>
      </c>
      <c r="P105" s="1">
        <v>376.47</v>
      </c>
      <c r="Q105" t="s">
        <v>115</v>
      </c>
      <c r="R105" t="s">
        <v>39</v>
      </c>
    </row>
    <row r="106" spans="1:18" x14ac:dyDescent="0.3">
      <c r="A106">
        <v>1105</v>
      </c>
      <c r="B106" s="3">
        <v>45976</v>
      </c>
      <c r="C106" s="3">
        <v>45982</v>
      </c>
      <c r="D106" t="s">
        <v>355</v>
      </c>
      <c r="E106" t="s">
        <v>356</v>
      </c>
      <c r="F106" t="s">
        <v>20</v>
      </c>
      <c r="G106" t="s">
        <v>56</v>
      </c>
      <c r="H106" t="s">
        <v>57</v>
      </c>
      <c r="I106" t="s">
        <v>58</v>
      </c>
      <c r="J106" t="s">
        <v>64</v>
      </c>
      <c r="K106" t="s">
        <v>157</v>
      </c>
      <c r="L106" t="s">
        <v>357</v>
      </c>
      <c r="M106" s="1">
        <v>3635.11</v>
      </c>
      <c r="N106">
        <v>3</v>
      </c>
      <c r="O106" s="2">
        <v>0</v>
      </c>
      <c r="P106" s="1">
        <v>500.92</v>
      </c>
      <c r="Q106" t="s">
        <v>67</v>
      </c>
      <c r="R106" t="s">
        <v>39</v>
      </c>
    </row>
    <row r="107" spans="1:18" x14ac:dyDescent="0.3">
      <c r="A107">
        <v>1106</v>
      </c>
      <c r="B107" s="3">
        <v>46005</v>
      </c>
      <c r="C107" s="3">
        <v>46006</v>
      </c>
      <c r="D107" t="s">
        <v>358</v>
      </c>
      <c r="E107" t="s">
        <v>359</v>
      </c>
      <c r="F107" t="s">
        <v>31</v>
      </c>
      <c r="G107" t="s">
        <v>112</v>
      </c>
      <c r="H107" t="s">
        <v>113</v>
      </c>
      <c r="I107" t="s">
        <v>49</v>
      </c>
      <c r="J107" t="s">
        <v>35</v>
      </c>
      <c r="K107" t="s">
        <v>36</v>
      </c>
      <c r="L107" t="s">
        <v>360</v>
      </c>
      <c r="M107" s="1">
        <v>69815.8</v>
      </c>
      <c r="N107">
        <v>3</v>
      </c>
      <c r="O107" s="2">
        <v>0.2</v>
      </c>
      <c r="P107" s="1">
        <v>1614.47</v>
      </c>
      <c r="Q107" t="s">
        <v>61</v>
      </c>
      <c r="R107" t="s">
        <v>120</v>
      </c>
    </row>
    <row r="108" spans="1:18" x14ac:dyDescent="0.3">
      <c r="A108">
        <v>1107</v>
      </c>
      <c r="B108" s="3">
        <v>45863</v>
      </c>
      <c r="C108" s="3">
        <v>45866</v>
      </c>
      <c r="D108" t="s">
        <v>361</v>
      </c>
      <c r="E108" t="s">
        <v>362</v>
      </c>
      <c r="F108" t="s">
        <v>31</v>
      </c>
      <c r="G108" t="s">
        <v>85</v>
      </c>
      <c r="H108" t="s">
        <v>86</v>
      </c>
      <c r="I108" t="s">
        <v>49</v>
      </c>
      <c r="J108" t="s">
        <v>64</v>
      </c>
      <c r="K108" t="s">
        <v>157</v>
      </c>
      <c r="L108" t="s">
        <v>363</v>
      </c>
      <c r="M108" s="1">
        <v>88901.45</v>
      </c>
      <c r="N108">
        <v>1</v>
      </c>
      <c r="O108" s="2">
        <v>0.2</v>
      </c>
      <c r="P108" s="1">
        <v>9248.25</v>
      </c>
      <c r="Q108" t="s">
        <v>115</v>
      </c>
      <c r="R108" t="s">
        <v>28</v>
      </c>
    </row>
    <row r="109" spans="1:18" x14ac:dyDescent="0.3">
      <c r="A109">
        <v>1108</v>
      </c>
      <c r="B109" s="3">
        <v>45987</v>
      </c>
      <c r="C109" s="3">
        <v>45989</v>
      </c>
      <c r="D109" t="s">
        <v>364</v>
      </c>
      <c r="E109" t="s">
        <v>365</v>
      </c>
      <c r="F109" t="s">
        <v>31</v>
      </c>
      <c r="G109" t="s">
        <v>107</v>
      </c>
      <c r="H109" t="s">
        <v>108</v>
      </c>
      <c r="I109" t="s">
        <v>34</v>
      </c>
      <c r="J109" t="s">
        <v>64</v>
      </c>
      <c r="K109" t="s">
        <v>104</v>
      </c>
      <c r="L109" t="s">
        <v>366</v>
      </c>
      <c r="M109" s="1">
        <v>27949.77</v>
      </c>
      <c r="N109">
        <v>6</v>
      </c>
      <c r="O109" s="2">
        <v>0.15</v>
      </c>
      <c r="P109" s="1">
        <v>1323.8</v>
      </c>
      <c r="Q109" t="s">
        <v>27</v>
      </c>
      <c r="R109" t="s">
        <v>120</v>
      </c>
    </row>
    <row r="110" spans="1:18" x14ac:dyDescent="0.3">
      <c r="A110">
        <v>1109</v>
      </c>
      <c r="B110" s="3">
        <v>45462</v>
      </c>
      <c r="C110" s="3">
        <v>45466</v>
      </c>
      <c r="D110" t="s">
        <v>367</v>
      </c>
      <c r="E110" t="s">
        <v>368</v>
      </c>
      <c r="F110" t="s">
        <v>20</v>
      </c>
      <c r="G110" t="s">
        <v>118</v>
      </c>
      <c r="H110" t="s">
        <v>118</v>
      </c>
      <c r="I110" t="s">
        <v>34</v>
      </c>
      <c r="J110" t="s">
        <v>35</v>
      </c>
      <c r="K110" t="s">
        <v>42</v>
      </c>
      <c r="L110" t="s">
        <v>369</v>
      </c>
      <c r="M110" s="1">
        <v>86376.02</v>
      </c>
      <c r="N110">
        <v>8</v>
      </c>
      <c r="O110" s="2">
        <v>0.1</v>
      </c>
      <c r="P110" s="1">
        <v>18442.48</v>
      </c>
      <c r="Q110" t="s">
        <v>27</v>
      </c>
      <c r="R110" t="s">
        <v>28</v>
      </c>
    </row>
    <row r="111" spans="1:18" x14ac:dyDescent="0.3">
      <c r="A111">
        <v>1110</v>
      </c>
      <c r="B111" s="3">
        <v>45436</v>
      </c>
      <c r="C111" s="3">
        <v>45442</v>
      </c>
      <c r="D111" t="s">
        <v>370</v>
      </c>
      <c r="E111" t="s">
        <v>371</v>
      </c>
      <c r="F111" t="s">
        <v>20</v>
      </c>
      <c r="G111" t="s">
        <v>118</v>
      </c>
      <c r="H111" t="s">
        <v>118</v>
      </c>
      <c r="I111" t="s">
        <v>34</v>
      </c>
      <c r="J111" t="s">
        <v>64</v>
      </c>
      <c r="K111" t="s">
        <v>80</v>
      </c>
      <c r="L111" t="s">
        <v>372</v>
      </c>
      <c r="M111" s="1">
        <v>48481.78</v>
      </c>
      <c r="N111">
        <v>9</v>
      </c>
      <c r="O111" s="2">
        <v>0.2</v>
      </c>
      <c r="P111" s="1">
        <v>5336.4</v>
      </c>
      <c r="Q111" t="s">
        <v>115</v>
      </c>
      <c r="R111" t="s">
        <v>120</v>
      </c>
    </row>
    <row r="112" spans="1:18" x14ac:dyDescent="0.3">
      <c r="A112">
        <v>1111</v>
      </c>
      <c r="B112" s="3">
        <v>45466</v>
      </c>
      <c r="C112" s="3">
        <v>45468</v>
      </c>
      <c r="D112" t="s">
        <v>93</v>
      </c>
      <c r="E112" t="s">
        <v>373</v>
      </c>
      <c r="F112" t="s">
        <v>31</v>
      </c>
      <c r="G112" t="s">
        <v>95</v>
      </c>
      <c r="H112" t="s">
        <v>22</v>
      </c>
      <c r="I112" t="s">
        <v>23</v>
      </c>
      <c r="J112" t="s">
        <v>35</v>
      </c>
      <c r="K112" t="s">
        <v>36</v>
      </c>
      <c r="L112" t="s">
        <v>374</v>
      </c>
      <c r="M112" s="1">
        <v>8287.69</v>
      </c>
      <c r="N112">
        <v>1</v>
      </c>
      <c r="O112" s="2">
        <v>0.25</v>
      </c>
      <c r="P112" s="1">
        <v>1194.8</v>
      </c>
      <c r="Q112" t="s">
        <v>74</v>
      </c>
      <c r="R112" t="s">
        <v>28</v>
      </c>
    </row>
    <row r="113" spans="1:18" x14ac:dyDescent="0.3">
      <c r="A113">
        <v>1112</v>
      </c>
      <c r="B113" s="3">
        <v>45339</v>
      </c>
      <c r="C113" s="3">
        <v>45341</v>
      </c>
      <c r="D113" t="s">
        <v>375</v>
      </c>
      <c r="E113" t="s">
        <v>41</v>
      </c>
      <c r="F113" t="s">
        <v>20</v>
      </c>
      <c r="G113" t="s">
        <v>118</v>
      </c>
      <c r="H113" t="s">
        <v>118</v>
      </c>
      <c r="I113" t="s">
        <v>34</v>
      </c>
      <c r="J113" t="s">
        <v>24</v>
      </c>
      <c r="K113" t="s">
        <v>25</v>
      </c>
      <c r="L113" t="s">
        <v>376</v>
      </c>
      <c r="M113" s="1">
        <v>58749.74</v>
      </c>
      <c r="N113">
        <v>7</v>
      </c>
      <c r="O113" s="2">
        <v>0.15</v>
      </c>
      <c r="P113" s="1">
        <v>9584.24</v>
      </c>
      <c r="Q113" t="s">
        <v>27</v>
      </c>
      <c r="R113" t="s">
        <v>39</v>
      </c>
    </row>
    <row r="114" spans="1:18" x14ac:dyDescent="0.3">
      <c r="A114">
        <v>1113</v>
      </c>
      <c r="B114" s="3">
        <v>45614</v>
      </c>
      <c r="C114" s="3">
        <v>45620</v>
      </c>
      <c r="D114" t="s">
        <v>377</v>
      </c>
      <c r="E114" t="s">
        <v>378</v>
      </c>
      <c r="F114" t="s">
        <v>31</v>
      </c>
      <c r="G114" t="s">
        <v>102</v>
      </c>
      <c r="H114" t="s">
        <v>103</v>
      </c>
      <c r="I114" t="s">
        <v>58</v>
      </c>
      <c r="J114" t="s">
        <v>24</v>
      </c>
      <c r="K114" t="s">
        <v>25</v>
      </c>
      <c r="L114" t="s">
        <v>379</v>
      </c>
      <c r="M114" s="1">
        <v>30464.22</v>
      </c>
      <c r="N114">
        <v>7</v>
      </c>
      <c r="O114" s="2">
        <v>0</v>
      </c>
      <c r="P114" s="1">
        <v>6168.94</v>
      </c>
      <c r="Q114" t="s">
        <v>38</v>
      </c>
      <c r="R114" t="s">
        <v>28</v>
      </c>
    </row>
    <row r="115" spans="1:18" x14ac:dyDescent="0.3">
      <c r="A115">
        <v>1114</v>
      </c>
      <c r="B115" s="3">
        <v>45831</v>
      </c>
      <c r="C115" s="3">
        <v>45835</v>
      </c>
      <c r="D115" t="s">
        <v>380</v>
      </c>
      <c r="E115" t="s">
        <v>381</v>
      </c>
      <c r="F115" t="s">
        <v>20</v>
      </c>
      <c r="G115" t="s">
        <v>85</v>
      </c>
      <c r="H115" t="s">
        <v>86</v>
      </c>
      <c r="I115" t="s">
        <v>49</v>
      </c>
      <c r="J115" t="s">
        <v>64</v>
      </c>
      <c r="K115" t="s">
        <v>157</v>
      </c>
      <c r="L115" t="s">
        <v>382</v>
      </c>
      <c r="M115" s="1">
        <v>86703.64</v>
      </c>
      <c r="N115">
        <v>7</v>
      </c>
      <c r="O115" s="2">
        <v>0</v>
      </c>
      <c r="P115" s="1">
        <v>24866.06</v>
      </c>
      <c r="Q115" t="s">
        <v>52</v>
      </c>
      <c r="R115" t="s">
        <v>28</v>
      </c>
    </row>
    <row r="116" spans="1:18" x14ac:dyDescent="0.3">
      <c r="A116">
        <v>1115</v>
      </c>
      <c r="B116" s="3">
        <v>45883</v>
      </c>
      <c r="C116" s="3">
        <v>45886</v>
      </c>
      <c r="D116" t="s">
        <v>383</v>
      </c>
      <c r="E116" t="s">
        <v>384</v>
      </c>
      <c r="F116" t="s">
        <v>46</v>
      </c>
      <c r="G116" t="s">
        <v>112</v>
      </c>
      <c r="H116" t="s">
        <v>113</v>
      </c>
      <c r="I116" t="s">
        <v>49</v>
      </c>
      <c r="J116" t="s">
        <v>35</v>
      </c>
      <c r="K116" t="s">
        <v>42</v>
      </c>
      <c r="L116" t="s">
        <v>385</v>
      </c>
      <c r="M116" s="1">
        <v>31064.43</v>
      </c>
      <c r="N116">
        <v>2</v>
      </c>
      <c r="O116" s="2">
        <v>0.15</v>
      </c>
      <c r="P116" s="1">
        <v>3847.93</v>
      </c>
      <c r="Q116" t="s">
        <v>74</v>
      </c>
      <c r="R116" t="s">
        <v>28</v>
      </c>
    </row>
    <row r="117" spans="1:18" x14ac:dyDescent="0.3">
      <c r="A117">
        <v>1116</v>
      </c>
      <c r="B117" s="3">
        <v>45747</v>
      </c>
      <c r="C117" s="3">
        <v>45748</v>
      </c>
      <c r="D117" t="s">
        <v>386</v>
      </c>
      <c r="E117" t="s">
        <v>387</v>
      </c>
      <c r="F117" t="s">
        <v>20</v>
      </c>
      <c r="G117" t="s">
        <v>102</v>
      </c>
      <c r="H117" t="s">
        <v>103</v>
      </c>
      <c r="I117" t="s">
        <v>58</v>
      </c>
      <c r="J117" t="s">
        <v>64</v>
      </c>
      <c r="K117" t="s">
        <v>104</v>
      </c>
      <c r="L117" t="s">
        <v>388</v>
      </c>
      <c r="M117" s="1">
        <v>76851.490000000005</v>
      </c>
      <c r="N117">
        <v>4</v>
      </c>
      <c r="O117" s="2">
        <v>0</v>
      </c>
      <c r="P117" s="1">
        <v>15584.64</v>
      </c>
      <c r="Q117" t="s">
        <v>27</v>
      </c>
      <c r="R117" t="s">
        <v>120</v>
      </c>
    </row>
    <row r="118" spans="1:18" x14ac:dyDescent="0.3">
      <c r="A118">
        <v>1117</v>
      </c>
      <c r="B118" s="3">
        <v>45490</v>
      </c>
      <c r="C118" s="3">
        <v>45495</v>
      </c>
      <c r="D118" t="s">
        <v>254</v>
      </c>
      <c r="E118" t="s">
        <v>389</v>
      </c>
      <c r="F118" t="s">
        <v>46</v>
      </c>
      <c r="G118" t="s">
        <v>56</v>
      </c>
      <c r="H118" t="s">
        <v>57</v>
      </c>
      <c r="I118" t="s">
        <v>58</v>
      </c>
      <c r="J118" t="s">
        <v>24</v>
      </c>
      <c r="K118" t="s">
        <v>50</v>
      </c>
      <c r="L118" t="s">
        <v>390</v>
      </c>
      <c r="M118" s="1">
        <v>49302.1</v>
      </c>
      <c r="N118">
        <v>8</v>
      </c>
      <c r="O118" s="2">
        <v>0.2</v>
      </c>
      <c r="P118" s="1">
        <v>7845.3</v>
      </c>
      <c r="Q118" t="s">
        <v>61</v>
      </c>
      <c r="R118" t="s">
        <v>120</v>
      </c>
    </row>
    <row r="119" spans="1:18" x14ac:dyDescent="0.3">
      <c r="A119">
        <v>1118</v>
      </c>
      <c r="B119" s="3">
        <v>45756</v>
      </c>
      <c r="C119" s="3">
        <v>45758</v>
      </c>
      <c r="D119" t="s">
        <v>391</v>
      </c>
      <c r="E119" t="s">
        <v>153</v>
      </c>
      <c r="F119" t="s">
        <v>46</v>
      </c>
      <c r="G119" t="s">
        <v>90</v>
      </c>
      <c r="H119" t="s">
        <v>91</v>
      </c>
      <c r="I119" t="s">
        <v>23</v>
      </c>
      <c r="J119" t="s">
        <v>24</v>
      </c>
      <c r="K119" t="s">
        <v>224</v>
      </c>
      <c r="L119" t="s">
        <v>392</v>
      </c>
      <c r="M119" s="1">
        <v>10491.52</v>
      </c>
      <c r="N119">
        <v>7</v>
      </c>
      <c r="O119" s="2">
        <v>0.25</v>
      </c>
      <c r="P119" s="1">
        <v>1320.51</v>
      </c>
      <c r="Q119" t="s">
        <v>27</v>
      </c>
      <c r="R119" t="s">
        <v>39</v>
      </c>
    </row>
    <row r="120" spans="1:18" x14ac:dyDescent="0.3">
      <c r="A120">
        <v>1119</v>
      </c>
      <c r="B120" s="3">
        <v>45697</v>
      </c>
      <c r="C120" s="3">
        <v>45701</v>
      </c>
      <c r="D120" t="s">
        <v>393</v>
      </c>
      <c r="E120" t="s">
        <v>394</v>
      </c>
      <c r="F120" t="s">
        <v>20</v>
      </c>
      <c r="G120" t="s">
        <v>70</v>
      </c>
      <c r="H120" t="s">
        <v>71</v>
      </c>
      <c r="I120" t="s">
        <v>58</v>
      </c>
      <c r="J120" t="s">
        <v>64</v>
      </c>
      <c r="K120" t="s">
        <v>157</v>
      </c>
      <c r="L120" t="s">
        <v>395</v>
      </c>
      <c r="M120" s="1">
        <v>36518.44</v>
      </c>
      <c r="N120">
        <v>2</v>
      </c>
      <c r="O120" s="2">
        <v>0.3</v>
      </c>
      <c r="P120" s="1">
        <v>6047.97</v>
      </c>
      <c r="Q120" t="s">
        <v>38</v>
      </c>
      <c r="R120" t="s">
        <v>120</v>
      </c>
    </row>
    <row r="121" spans="1:18" x14ac:dyDescent="0.3">
      <c r="A121">
        <v>1120</v>
      </c>
      <c r="B121" s="3">
        <v>45591</v>
      </c>
      <c r="C121" s="3">
        <v>45594</v>
      </c>
      <c r="D121" t="s">
        <v>396</v>
      </c>
      <c r="E121" t="s">
        <v>397</v>
      </c>
      <c r="F121" t="s">
        <v>46</v>
      </c>
      <c r="G121" t="s">
        <v>107</v>
      </c>
      <c r="H121" t="s">
        <v>108</v>
      </c>
      <c r="I121" t="s">
        <v>34</v>
      </c>
      <c r="J121" t="s">
        <v>35</v>
      </c>
      <c r="K121" t="s">
        <v>36</v>
      </c>
      <c r="L121" t="s">
        <v>398</v>
      </c>
      <c r="M121" s="1">
        <v>20969.48</v>
      </c>
      <c r="N121">
        <v>8</v>
      </c>
      <c r="O121" s="2">
        <v>0</v>
      </c>
      <c r="P121" s="1">
        <v>4736.6499999999996</v>
      </c>
      <c r="Q121" t="s">
        <v>74</v>
      </c>
      <c r="R121" t="s">
        <v>39</v>
      </c>
    </row>
    <row r="122" spans="1:18" x14ac:dyDescent="0.3">
      <c r="A122">
        <v>1121</v>
      </c>
      <c r="B122" s="3">
        <v>45519</v>
      </c>
      <c r="C122" s="3">
        <v>45522</v>
      </c>
      <c r="D122" t="s">
        <v>399</v>
      </c>
      <c r="E122" t="s">
        <v>400</v>
      </c>
      <c r="F122" t="s">
        <v>46</v>
      </c>
      <c r="G122" t="s">
        <v>21</v>
      </c>
      <c r="H122" t="s">
        <v>22</v>
      </c>
      <c r="I122" t="s">
        <v>23</v>
      </c>
      <c r="J122" t="s">
        <v>35</v>
      </c>
      <c r="K122" t="s">
        <v>129</v>
      </c>
      <c r="L122" t="s">
        <v>401</v>
      </c>
      <c r="M122" s="1">
        <v>2942.36</v>
      </c>
      <c r="N122">
        <v>10</v>
      </c>
      <c r="O122" s="2">
        <v>0.2</v>
      </c>
      <c r="P122" s="1">
        <v>108.02</v>
      </c>
      <c r="Q122" t="s">
        <v>115</v>
      </c>
      <c r="R122" t="s">
        <v>120</v>
      </c>
    </row>
    <row r="123" spans="1:18" x14ac:dyDescent="0.3">
      <c r="A123">
        <v>1122</v>
      </c>
      <c r="B123" s="3">
        <v>45430</v>
      </c>
      <c r="C123" s="3">
        <v>45431</v>
      </c>
      <c r="D123" t="s">
        <v>402</v>
      </c>
      <c r="E123" t="s">
        <v>229</v>
      </c>
      <c r="F123" t="s">
        <v>20</v>
      </c>
      <c r="G123" t="s">
        <v>118</v>
      </c>
      <c r="H123" t="s">
        <v>118</v>
      </c>
      <c r="I123" t="s">
        <v>34</v>
      </c>
      <c r="J123" t="s">
        <v>35</v>
      </c>
      <c r="K123" t="s">
        <v>36</v>
      </c>
      <c r="L123" t="s">
        <v>403</v>
      </c>
      <c r="M123" s="1">
        <v>55016.02</v>
      </c>
      <c r="N123">
        <v>4</v>
      </c>
      <c r="O123" s="2">
        <v>0.3</v>
      </c>
      <c r="P123" s="1">
        <v>5023.8500000000004</v>
      </c>
      <c r="Q123" t="s">
        <v>61</v>
      </c>
      <c r="R123" t="s">
        <v>39</v>
      </c>
    </row>
    <row r="124" spans="1:18" x14ac:dyDescent="0.3">
      <c r="A124">
        <v>1123</v>
      </c>
      <c r="B124" s="3">
        <v>45796</v>
      </c>
      <c r="C124" s="3">
        <v>45802</v>
      </c>
      <c r="D124" t="s">
        <v>193</v>
      </c>
      <c r="E124" t="s">
        <v>404</v>
      </c>
      <c r="F124" t="s">
        <v>31</v>
      </c>
      <c r="G124" t="s">
        <v>85</v>
      </c>
      <c r="H124" t="s">
        <v>86</v>
      </c>
      <c r="I124" t="s">
        <v>49</v>
      </c>
      <c r="J124" t="s">
        <v>24</v>
      </c>
      <c r="K124" t="s">
        <v>25</v>
      </c>
      <c r="L124" t="s">
        <v>405</v>
      </c>
      <c r="M124" s="1">
        <v>83714.12</v>
      </c>
      <c r="N124">
        <v>9</v>
      </c>
      <c r="O124" s="2">
        <v>0.15</v>
      </c>
      <c r="P124" s="1">
        <v>5927.5</v>
      </c>
      <c r="Q124" t="s">
        <v>38</v>
      </c>
      <c r="R124" t="s">
        <v>28</v>
      </c>
    </row>
    <row r="125" spans="1:18" x14ac:dyDescent="0.3">
      <c r="A125">
        <v>1124</v>
      </c>
      <c r="B125" s="3">
        <v>45617</v>
      </c>
      <c r="C125" s="3">
        <v>45619</v>
      </c>
      <c r="D125" t="s">
        <v>226</v>
      </c>
      <c r="E125" t="s">
        <v>406</v>
      </c>
      <c r="F125" t="s">
        <v>31</v>
      </c>
      <c r="G125" t="s">
        <v>90</v>
      </c>
      <c r="H125" t="s">
        <v>91</v>
      </c>
      <c r="I125" t="s">
        <v>23</v>
      </c>
      <c r="J125" t="s">
        <v>35</v>
      </c>
      <c r="K125" t="s">
        <v>42</v>
      </c>
      <c r="L125" t="s">
        <v>407</v>
      </c>
      <c r="M125" s="1">
        <v>3248.78</v>
      </c>
      <c r="N125">
        <v>2</v>
      </c>
      <c r="O125" s="2">
        <v>0</v>
      </c>
      <c r="P125" s="1">
        <v>500.39</v>
      </c>
      <c r="Q125" t="s">
        <v>115</v>
      </c>
      <c r="R125" t="s">
        <v>53</v>
      </c>
    </row>
    <row r="126" spans="1:18" x14ac:dyDescent="0.3">
      <c r="A126">
        <v>1125</v>
      </c>
      <c r="B126" s="3">
        <v>45803</v>
      </c>
      <c r="C126" s="3">
        <v>45804</v>
      </c>
      <c r="D126" t="s">
        <v>408</v>
      </c>
      <c r="E126" t="s">
        <v>163</v>
      </c>
      <c r="F126" t="s">
        <v>20</v>
      </c>
      <c r="G126" t="s">
        <v>95</v>
      </c>
      <c r="H126" t="s">
        <v>22</v>
      </c>
      <c r="I126" t="s">
        <v>23</v>
      </c>
      <c r="J126" t="s">
        <v>35</v>
      </c>
      <c r="K126" t="s">
        <v>129</v>
      </c>
      <c r="L126" t="s">
        <v>409</v>
      </c>
      <c r="M126" s="1">
        <v>83103.59</v>
      </c>
      <c r="N126">
        <v>9</v>
      </c>
      <c r="O126" s="2">
        <v>0.15</v>
      </c>
      <c r="P126" s="1">
        <v>4055.11</v>
      </c>
      <c r="Q126" t="s">
        <v>61</v>
      </c>
      <c r="R126" t="s">
        <v>28</v>
      </c>
    </row>
    <row r="127" spans="1:18" x14ac:dyDescent="0.3">
      <c r="A127">
        <v>1126</v>
      </c>
      <c r="B127" s="3">
        <v>45530</v>
      </c>
      <c r="C127" s="3">
        <v>45535</v>
      </c>
      <c r="D127" t="s">
        <v>410</v>
      </c>
      <c r="E127" t="s">
        <v>149</v>
      </c>
      <c r="F127" t="s">
        <v>46</v>
      </c>
      <c r="G127" t="s">
        <v>85</v>
      </c>
      <c r="H127" t="s">
        <v>86</v>
      </c>
      <c r="I127" t="s">
        <v>49</v>
      </c>
      <c r="J127" t="s">
        <v>64</v>
      </c>
      <c r="K127" t="s">
        <v>65</v>
      </c>
      <c r="L127" t="s">
        <v>411</v>
      </c>
      <c r="M127" s="1">
        <v>47507.7</v>
      </c>
      <c r="N127">
        <v>5</v>
      </c>
      <c r="O127" s="2">
        <v>0</v>
      </c>
      <c r="P127" s="1">
        <v>8638.0400000000009</v>
      </c>
      <c r="Q127" t="s">
        <v>27</v>
      </c>
      <c r="R127" t="s">
        <v>120</v>
      </c>
    </row>
    <row r="128" spans="1:18" x14ac:dyDescent="0.3">
      <c r="A128">
        <v>1127</v>
      </c>
      <c r="B128" s="3">
        <v>45848</v>
      </c>
      <c r="C128" s="3">
        <v>45854</v>
      </c>
      <c r="D128" t="s">
        <v>412</v>
      </c>
      <c r="E128" t="s">
        <v>268</v>
      </c>
      <c r="F128" t="s">
        <v>20</v>
      </c>
      <c r="G128" t="s">
        <v>90</v>
      </c>
      <c r="H128" t="s">
        <v>91</v>
      </c>
      <c r="I128" t="s">
        <v>23</v>
      </c>
      <c r="J128" t="s">
        <v>24</v>
      </c>
      <c r="K128" t="s">
        <v>25</v>
      </c>
      <c r="L128" t="s">
        <v>413</v>
      </c>
      <c r="M128" s="1">
        <v>77189.38</v>
      </c>
      <c r="N128">
        <v>8</v>
      </c>
      <c r="O128" s="2">
        <v>0.2</v>
      </c>
      <c r="P128" s="1">
        <v>12767.9</v>
      </c>
      <c r="Q128" t="s">
        <v>82</v>
      </c>
      <c r="R128" t="s">
        <v>53</v>
      </c>
    </row>
    <row r="129" spans="1:18" x14ac:dyDescent="0.3">
      <c r="A129">
        <v>1128</v>
      </c>
      <c r="B129" s="3">
        <v>45414</v>
      </c>
      <c r="C129" s="3">
        <v>45420</v>
      </c>
      <c r="D129" t="s">
        <v>414</v>
      </c>
      <c r="E129" t="s">
        <v>284</v>
      </c>
      <c r="F129" t="s">
        <v>31</v>
      </c>
      <c r="G129" t="s">
        <v>56</v>
      </c>
      <c r="H129" t="s">
        <v>57</v>
      </c>
      <c r="I129" t="s">
        <v>58</v>
      </c>
      <c r="J129" t="s">
        <v>64</v>
      </c>
      <c r="K129" t="s">
        <v>80</v>
      </c>
      <c r="L129" t="s">
        <v>415</v>
      </c>
      <c r="M129" s="1">
        <v>60098.080000000002</v>
      </c>
      <c r="N129">
        <v>9</v>
      </c>
      <c r="O129" s="2">
        <v>0.15</v>
      </c>
      <c r="P129" s="1">
        <v>5041.05</v>
      </c>
      <c r="Q129" t="s">
        <v>27</v>
      </c>
      <c r="R129" t="s">
        <v>39</v>
      </c>
    </row>
    <row r="130" spans="1:18" x14ac:dyDescent="0.3">
      <c r="A130">
        <v>1129</v>
      </c>
      <c r="B130" s="3">
        <v>45962</v>
      </c>
      <c r="C130" s="3">
        <v>45967</v>
      </c>
      <c r="D130" t="s">
        <v>292</v>
      </c>
      <c r="E130" t="s">
        <v>416</v>
      </c>
      <c r="F130" t="s">
        <v>31</v>
      </c>
      <c r="G130" t="s">
        <v>70</v>
      </c>
      <c r="H130" t="s">
        <v>71</v>
      </c>
      <c r="I130" t="s">
        <v>58</v>
      </c>
      <c r="J130" t="s">
        <v>64</v>
      </c>
      <c r="K130" t="s">
        <v>104</v>
      </c>
      <c r="L130" t="s">
        <v>417</v>
      </c>
      <c r="M130" s="1">
        <v>80355.17</v>
      </c>
      <c r="N130">
        <v>3</v>
      </c>
      <c r="O130" s="2">
        <v>0.2</v>
      </c>
      <c r="P130" s="1">
        <v>4412.0600000000004</v>
      </c>
      <c r="Q130" t="s">
        <v>38</v>
      </c>
      <c r="R130" t="s">
        <v>53</v>
      </c>
    </row>
    <row r="131" spans="1:18" x14ac:dyDescent="0.3">
      <c r="A131">
        <v>1130</v>
      </c>
      <c r="B131" s="3">
        <v>45757</v>
      </c>
      <c r="C131" s="3">
        <v>45759</v>
      </c>
      <c r="D131" t="s">
        <v>418</v>
      </c>
      <c r="E131" t="s">
        <v>419</v>
      </c>
      <c r="F131" t="s">
        <v>20</v>
      </c>
      <c r="G131" t="s">
        <v>118</v>
      </c>
      <c r="H131" t="s">
        <v>118</v>
      </c>
      <c r="I131" t="s">
        <v>34</v>
      </c>
      <c r="J131" t="s">
        <v>64</v>
      </c>
      <c r="K131" t="s">
        <v>157</v>
      </c>
      <c r="L131" t="s">
        <v>420</v>
      </c>
      <c r="M131" s="1">
        <v>48438.46</v>
      </c>
      <c r="N131">
        <v>8</v>
      </c>
      <c r="O131" s="2">
        <v>0.25</v>
      </c>
      <c r="P131" s="1">
        <v>5145.12</v>
      </c>
      <c r="Q131" t="s">
        <v>67</v>
      </c>
      <c r="R131" t="s">
        <v>120</v>
      </c>
    </row>
    <row r="132" spans="1:18" x14ac:dyDescent="0.3">
      <c r="A132">
        <v>1131</v>
      </c>
      <c r="B132" s="3">
        <v>45730</v>
      </c>
      <c r="C132" s="3">
        <v>45734</v>
      </c>
      <c r="D132" t="s">
        <v>155</v>
      </c>
      <c r="E132" t="s">
        <v>421</v>
      </c>
      <c r="F132" t="s">
        <v>31</v>
      </c>
      <c r="G132" t="s">
        <v>95</v>
      </c>
      <c r="H132" t="s">
        <v>22</v>
      </c>
      <c r="I132" t="s">
        <v>23</v>
      </c>
      <c r="J132" t="s">
        <v>35</v>
      </c>
      <c r="K132" t="s">
        <v>129</v>
      </c>
      <c r="L132" t="s">
        <v>422</v>
      </c>
      <c r="M132" s="1">
        <v>20812.29</v>
      </c>
      <c r="N132">
        <v>9</v>
      </c>
      <c r="O132" s="2">
        <v>0.15</v>
      </c>
      <c r="P132" s="1">
        <v>3197.6</v>
      </c>
      <c r="Q132" t="s">
        <v>67</v>
      </c>
      <c r="R132" t="s">
        <v>120</v>
      </c>
    </row>
    <row r="133" spans="1:18" x14ac:dyDescent="0.3">
      <c r="A133">
        <v>1132</v>
      </c>
      <c r="B133" s="3">
        <v>45444</v>
      </c>
      <c r="C133" s="3">
        <v>45446</v>
      </c>
      <c r="D133" t="s">
        <v>423</v>
      </c>
      <c r="E133" t="s">
        <v>365</v>
      </c>
      <c r="F133" t="s">
        <v>31</v>
      </c>
      <c r="G133" t="s">
        <v>85</v>
      </c>
      <c r="H133" t="s">
        <v>86</v>
      </c>
      <c r="I133" t="s">
        <v>49</v>
      </c>
      <c r="J133" t="s">
        <v>24</v>
      </c>
      <c r="K133" t="s">
        <v>224</v>
      </c>
      <c r="L133" t="s">
        <v>424</v>
      </c>
      <c r="M133" s="1">
        <v>36657.410000000003</v>
      </c>
      <c r="N133">
        <v>9</v>
      </c>
      <c r="O133" s="2">
        <v>0.1</v>
      </c>
      <c r="P133" s="1">
        <v>7098.28</v>
      </c>
      <c r="Q133" t="s">
        <v>115</v>
      </c>
      <c r="R133" t="s">
        <v>53</v>
      </c>
    </row>
    <row r="134" spans="1:18" x14ac:dyDescent="0.3">
      <c r="A134">
        <v>1133</v>
      </c>
      <c r="B134" s="3">
        <v>46018</v>
      </c>
      <c r="C134" s="3">
        <v>46019</v>
      </c>
      <c r="D134" t="s">
        <v>425</v>
      </c>
      <c r="E134" t="s">
        <v>218</v>
      </c>
      <c r="F134" t="s">
        <v>20</v>
      </c>
      <c r="G134" t="s">
        <v>90</v>
      </c>
      <c r="H134" t="s">
        <v>91</v>
      </c>
      <c r="I134" t="s">
        <v>23</v>
      </c>
      <c r="J134" t="s">
        <v>64</v>
      </c>
      <c r="K134" t="s">
        <v>80</v>
      </c>
      <c r="L134" t="s">
        <v>426</v>
      </c>
      <c r="M134" s="1">
        <v>58791.519999999997</v>
      </c>
      <c r="N134">
        <v>5</v>
      </c>
      <c r="O134" s="2">
        <v>0.05</v>
      </c>
      <c r="P134" s="1">
        <v>16274.97</v>
      </c>
      <c r="Q134" t="s">
        <v>115</v>
      </c>
      <c r="R134" t="s">
        <v>28</v>
      </c>
    </row>
    <row r="135" spans="1:18" x14ac:dyDescent="0.3">
      <c r="A135">
        <v>1134</v>
      </c>
      <c r="B135" s="3">
        <v>45444</v>
      </c>
      <c r="C135" s="3">
        <v>45446</v>
      </c>
      <c r="D135" t="s">
        <v>256</v>
      </c>
      <c r="E135" t="s">
        <v>427</v>
      </c>
      <c r="F135" t="s">
        <v>46</v>
      </c>
      <c r="G135" t="s">
        <v>102</v>
      </c>
      <c r="H135" t="s">
        <v>103</v>
      </c>
      <c r="I135" t="s">
        <v>58</v>
      </c>
      <c r="J135" t="s">
        <v>64</v>
      </c>
      <c r="K135" t="s">
        <v>65</v>
      </c>
      <c r="L135" t="s">
        <v>428</v>
      </c>
      <c r="M135" s="1">
        <v>56617.75</v>
      </c>
      <c r="N135">
        <v>1</v>
      </c>
      <c r="O135" s="2">
        <v>0.2</v>
      </c>
      <c r="P135" s="1">
        <v>11572.39</v>
      </c>
      <c r="Q135" t="s">
        <v>67</v>
      </c>
      <c r="R135" t="s">
        <v>120</v>
      </c>
    </row>
    <row r="136" spans="1:18" x14ac:dyDescent="0.3">
      <c r="A136">
        <v>1135</v>
      </c>
      <c r="B136" s="3">
        <v>45512</v>
      </c>
      <c r="C136" s="3">
        <v>45514</v>
      </c>
      <c r="D136" t="s">
        <v>429</v>
      </c>
      <c r="E136" t="s">
        <v>284</v>
      </c>
      <c r="F136" t="s">
        <v>20</v>
      </c>
      <c r="G136" t="s">
        <v>118</v>
      </c>
      <c r="H136" t="s">
        <v>118</v>
      </c>
      <c r="I136" t="s">
        <v>34</v>
      </c>
      <c r="J136" t="s">
        <v>64</v>
      </c>
      <c r="K136" t="s">
        <v>157</v>
      </c>
      <c r="L136" t="s">
        <v>430</v>
      </c>
      <c r="M136" s="1">
        <v>71183.81</v>
      </c>
      <c r="N136">
        <v>6</v>
      </c>
      <c r="O136" s="2">
        <v>0.15</v>
      </c>
      <c r="P136" s="1">
        <v>8932.49</v>
      </c>
      <c r="Q136" t="s">
        <v>61</v>
      </c>
      <c r="R136" t="s">
        <v>39</v>
      </c>
    </row>
    <row r="137" spans="1:18" x14ac:dyDescent="0.3">
      <c r="A137">
        <v>1136</v>
      </c>
      <c r="B137" s="3">
        <v>45605</v>
      </c>
      <c r="C137" s="3">
        <v>45608</v>
      </c>
      <c r="D137" t="s">
        <v>431</v>
      </c>
      <c r="E137" t="s">
        <v>432</v>
      </c>
      <c r="F137" t="s">
        <v>31</v>
      </c>
      <c r="G137" t="s">
        <v>47</v>
      </c>
      <c r="H137" t="s">
        <v>48</v>
      </c>
      <c r="I137" t="s">
        <v>49</v>
      </c>
      <c r="J137" t="s">
        <v>64</v>
      </c>
      <c r="K137" t="s">
        <v>104</v>
      </c>
      <c r="L137" t="s">
        <v>433</v>
      </c>
      <c r="M137" s="1">
        <v>22111.81</v>
      </c>
      <c r="N137">
        <v>10</v>
      </c>
      <c r="O137" s="2">
        <v>0.3</v>
      </c>
      <c r="P137" s="1">
        <v>2668.33</v>
      </c>
      <c r="Q137" t="s">
        <v>67</v>
      </c>
      <c r="R137" t="s">
        <v>53</v>
      </c>
    </row>
    <row r="138" spans="1:18" x14ac:dyDescent="0.3">
      <c r="A138">
        <v>1137</v>
      </c>
      <c r="B138" s="3">
        <v>45968</v>
      </c>
      <c r="C138" s="3">
        <v>45972</v>
      </c>
      <c r="D138" t="s">
        <v>337</v>
      </c>
      <c r="E138" t="s">
        <v>434</v>
      </c>
      <c r="F138" t="s">
        <v>31</v>
      </c>
      <c r="G138" t="s">
        <v>32</v>
      </c>
      <c r="H138" t="s">
        <v>33</v>
      </c>
      <c r="I138" t="s">
        <v>34</v>
      </c>
      <c r="J138" t="s">
        <v>35</v>
      </c>
      <c r="K138" t="s">
        <v>42</v>
      </c>
      <c r="L138" t="s">
        <v>435</v>
      </c>
      <c r="M138" s="1">
        <v>76256.36</v>
      </c>
      <c r="N138">
        <v>2</v>
      </c>
      <c r="O138" s="2">
        <v>0.2</v>
      </c>
      <c r="P138" s="1">
        <v>10320.030000000001</v>
      </c>
      <c r="Q138" t="s">
        <v>115</v>
      </c>
      <c r="R138" t="s">
        <v>53</v>
      </c>
    </row>
    <row r="139" spans="1:18" x14ac:dyDescent="0.3">
      <c r="A139">
        <v>1138</v>
      </c>
      <c r="B139" s="3">
        <v>45507</v>
      </c>
      <c r="C139" s="3">
        <v>45509</v>
      </c>
      <c r="D139" t="s">
        <v>391</v>
      </c>
      <c r="E139" t="s">
        <v>384</v>
      </c>
      <c r="F139" t="s">
        <v>46</v>
      </c>
      <c r="G139" t="s">
        <v>85</v>
      </c>
      <c r="H139" t="s">
        <v>86</v>
      </c>
      <c r="I139" t="s">
        <v>49</v>
      </c>
      <c r="J139" t="s">
        <v>64</v>
      </c>
      <c r="K139" t="s">
        <v>80</v>
      </c>
      <c r="L139" t="s">
        <v>436</v>
      </c>
      <c r="M139" s="1">
        <v>6061.18</v>
      </c>
      <c r="N139">
        <v>6</v>
      </c>
      <c r="O139" s="2">
        <v>0.1</v>
      </c>
      <c r="P139" s="1">
        <v>1382.59</v>
      </c>
      <c r="Q139" t="s">
        <v>74</v>
      </c>
      <c r="R139" t="s">
        <v>39</v>
      </c>
    </row>
    <row r="140" spans="1:18" x14ac:dyDescent="0.3">
      <c r="A140">
        <v>1139</v>
      </c>
      <c r="B140" s="3">
        <v>45915</v>
      </c>
      <c r="C140" s="3">
        <v>45916</v>
      </c>
      <c r="D140" t="s">
        <v>437</v>
      </c>
      <c r="E140" t="s">
        <v>438</v>
      </c>
      <c r="F140" t="s">
        <v>31</v>
      </c>
      <c r="G140" t="s">
        <v>32</v>
      </c>
      <c r="H140" t="s">
        <v>33</v>
      </c>
      <c r="I140" t="s">
        <v>34</v>
      </c>
      <c r="J140" t="s">
        <v>24</v>
      </c>
      <c r="K140" t="s">
        <v>50</v>
      </c>
      <c r="L140" t="s">
        <v>439</v>
      </c>
      <c r="M140" s="1">
        <v>75354.929999999993</v>
      </c>
      <c r="N140">
        <v>5</v>
      </c>
      <c r="O140" s="2">
        <v>0.25</v>
      </c>
      <c r="P140" s="1">
        <v>10177.51</v>
      </c>
      <c r="Q140" t="s">
        <v>67</v>
      </c>
      <c r="R140" t="s">
        <v>53</v>
      </c>
    </row>
    <row r="141" spans="1:18" x14ac:dyDescent="0.3">
      <c r="A141">
        <v>1140</v>
      </c>
      <c r="B141" s="3">
        <v>45649</v>
      </c>
      <c r="C141" s="3">
        <v>45654</v>
      </c>
      <c r="D141" t="s">
        <v>440</v>
      </c>
      <c r="E141" t="s">
        <v>441</v>
      </c>
      <c r="F141" t="s">
        <v>46</v>
      </c>
      <c r="G141" t="s">
        <v>118</v>
      </c>
      <c r="H141" t="s">
        <v>118</v>
      </c>
      <c r="I141" t="s">
        <v>34</v>
      </c>
      <c r="J141" t="s">
        <v>35</v>
      </c>
      <c r="K141" t="s">
        <v>36</v>
      </c>
      <c r="L141" t="s">
        <v>442</v>
      </c>
      <c r="M141" s="1">
        <v>58551.57</v>
      </c>
      <c r="N141">
        <v>2</v>
      </c>
      <c r="O141" s="2">
        <v>0.25</v>
      </c>
      <c r="P141" s="1">
        <v>7863.87</v>
      </c>
      <c r="Q141" t="s">
        <v>27</v>
      </c>
      <c r="R141" t="s">
        <v>28</v>
      </c>
    </row>
    <row r="142" spans="1:18" x14ac:dyDescent="0.3">
      <c r="A142">
        <v>1141</v>
      </c>
      <c r="B142" s="3">
        <v>45579</v>
      </c>
      <c r="C142" s="3">
        <v>45582</v>
      </c>
      <c r="D142" t="s">
        <v>29</v>
      </c>
      <c r="E142" t="s">
        <v>63</v>
      </c>
      <c r="F142" t="s">
        <v>46</v>
      </c>
      <c r="G142" t="s">
        <v>56</v>
      </c>
      <c r="H142" t="s">
        <v>57</v>
      </c>
      <c r="I142" t="s">
        <v>58</v>
      </c>
      <c r="J142" t="s">
        <v>35</v>
      </c>
      <c r="K142" t="s">
        <v>42</v>
      </c>
      <c r="L142" t="s">
        <v>443</v>
      </c>
      <c r="M142" s="1">
        <v>66856.86</v>
      </c>
      <c r="N142">
        <v>4</v>
      </c>
      <c r="O142" s="2">
        <v>0.1</v>
      </c>
      <c r="P142" s="1">
        <v>12620.96</v>
      </c>
      <c r="Q142" t="s">
        <v>61</v>
      </c>
      <c r="R142" t="s">
        <v>53</v>
      </c>
    </row>
    <row r="143" spans="1:18" x14ac:dyDescent="0.3">
      <c r="A143">
        <v>1142</v>
      </c>
      <c r="B143" s="3">
        <v>45367</v>
      </c>
      <c r="C143" s="3">
        <v>45368</v>
      </c>
      <c r="D143" t="s">
        <v>370</v>
      </c>
      <c r="E143" t="s">
        <v>444</v>
      </c>
      <c r="F143" t="s">
        <v>46</v>
      </c>
      <c r="G143" t="s">
        <v>47</v>
      </c>
      <c r="H143" t="s">
        <v>48</v>
      </c>
      <c r="I143" t="s">
        <v>49</v>
      </c>
      <c r="J143" t="s">
        <v>24</v>
      </c>
      <c r="K143" t="s">
        <v>212</v>
      </c>
      <c r="L143" t="s">
        <v>445</v>
      </c>
      <c r="M143" s="1">
        <v>28757.46</v>
      </c>
      <c r="N143">
        <v>5</v>
      </c>
      <c r="O143" s="2">
        <v>0.25</v>
      </c>
      <c r="P143" s="1">
        <v>-296.23</v>
      </c>
      <c r="Q143" t="s">
        <v>27</v>
      </c>
      <c r="R143" t="s">
        <v>28</v>
      </c>
    </row>
    <row r="144" spans="1:18" x14ac:dyDescent="0.3">
      <c r="A144">
        <v>1143</v>
      </c>
      <c r="B144" s="3">
        <v>45749</v>
      </c>
      <c r="C144" s="3">
        <v>45753</v>
      </c>
      <c r="D144" t="s">
        <v>446</v>
      </c>
      <c r="E144" t="s">
        <v>447</v>
      </c>
      <c r="F144" t="s">
        <v>20</v>
      </c>
      <c r="G144" t="s">
        <v>21</v>
      </c>
      <c r="H144" t="s">
        <v>22</v>
      </c>
      <c r="I144" t="s">
        <v>23</v>
      </c>
      <c r="J144" t="s">
        <v>64</v>
      </c>
      <c r="K144" t="s">
        <v>157</v>
      </c>
      <c r="L144" t="s">
        <v>448</v>
      </c>
      <c r="M144" s="1">
        <v>20597.38</v>
      </c>
      <c r="N144">
        <v>8</v>
      </c>
      <c r="O144" s="2">
        <v>0.25</v>
      </c>
      <c r="P144" s="1">
        <v>2473.2199999999998</v>
      </c>
      <c r="Q144" t="s">
        <v>38</v>
      </c>
      <c r="R144" t="s">
        <v>39</v>
      </c>
    </row>
    <row r="145" spans="1:18" x14ac:dyDescent="0.3">
      <c r="A145">
        <v>1144</v>
      </c>
      <c r="B145" s="3">
        <v>45948</v>
      </c>
      <c r="C145" s="3">
        <v>45949</v>
      </c>
      <c r="D145" t="s">
        <v>449</v>
      </c>
      <c r="E145" t="s">
        <v>63</v>
      </c>
      <c r="F145" t="s">
        <v>20</v>
      </c>
      <c r="G145" t="s">
        <v>95</v>
      </c>
      <c r="H145" t="s">
        <v>22</v>
      </c>
      <c r="I145" t="s">
        <v>23</v>
      </c>
      <c r="J145" t="s">
        <v>35</v>
      </c>
      <c r="K145" t="s">
        <v>42</v>
      </c>
      <c r="L145" t="s">
        <v>450</v>
      </c>
      <c r="M145" s="1">
        <v>66245.789999999994</v>
      </c>
      <c r="N145">
        <v>6</v>
      </c>
      <c r="O145" s="2">
        <v>0.05</v>
      </c>
      <c r="P145" s="1">
        <v>14319.67</v>
      </c>
      <c r="Q145" t="s">
        <v>67</v>
      </c>
      <c r="R145" t="s">
        <v>39</v>
      </c>
    </row>
    <row r="146" spans="1:18" x14ac:dyDescent="0.3">
      <c r="A146">
        <v>1145</v>
      </c>
      <c r="B146" s="3">
        <v>45369</v>
      </c>
      <c r="C146" s="3">
        <v>45374</v>
      </c>
      <c r="D146" t="s">
        <v>402</v>
      </c>
      <c r="E146" t="s">
        <v>451</v>
      </c>
      <c r="F146" t="s">
        <v>46</v>
      </c>
      <c r="G146" t="s">
        <v>21</v>
      </c>
      <c r="H146" t="s">
        <v>22</v>
      </c>
      <c r="I146" t="s">
        <v>23</v>
      </c>
      <c r="J146" t="s">
        <v>35</v>
      </c>
      <c r="K146" t="s">
        <v>129</v>
      </c>
      <c r="L146" t="s">
        <v>452</v>
      </c>
      <c r="M146" s="1">
        <v>8976.73</v>
      </c>
      <c r="N146">
        <v>10</v>
      </c>
      <c r="O146" s="2">
        <v>0.2</v>
      </c>
      <c r="P146" s="1">
        <v>113.74</v>
      </c>
      <c r="Q146" t="s">
        <v>67</v>
      </c>
      <c r="R146" t="s">
        <v>53</v>
      </c>
    </row>
    <row r="147" spans="1:18" x14ac:dyDescent="0.3">
      <c r="A147">
        <v>1146</v>
      </c>
      <c r="B147" s="3">
        <v>45660</v>
      </c>
      <c r="C147" s="3">
        <v>45663</v>
      </c>
      <c r="D147" t="s">
        <v>453</v>
      </c>
      <c r="E147" t="s">
        <v>454</v>
      </c>
      <c r="F147" t="s">
        <v>20</v>
      </c>
      <c r="G147" t="s">
        <v>112</v>
      </c>
      <c r="H147" t="s">
        <v>113</v>
      </c>
      <c r="I147" t="s">
        <v>49</v>
      </c>
      <c r="J147" t="s">
        <v>64</v>
      </c>
      <c r="K147" t="s">
        <v>157</v>
      </c>
      <c r="L147" t="s">
        <v>455</v>
      </c>
      <c r="M147" s="1">
        <v>57573.27</v>
      </c>
      <c r="N147">
        <v>3</v>
      </c>
      <c r="O147" s="2">
        <v>0.3</v>
      </c>
      <c r="P147" s="1">
        <v>-193.33</v>
      </c>
      <c r="Q147" t="s">
        <v>61</v>
      </c>
      <c r="R147" t="s">
        <v>120</v>
      </c>
    </row>
    <row r="148" spans="1:18" x14ac:dyDescent="0.3">
      <c r="A148">
        <v>1147</v>
      </c>
      <c r="B148" s="3">
        <v>45685</v>
      </c>
      <c r="C148" s="3">
        <v>45686</v>
      </c>
      <c r="D148" t="s">
        <v>277</v>
      </c>
      <c r="E148" t="s">
        <v>456</v>
      </c>
      <c r="F148" t="s">
        <v>46</v>
      </c>
      <c r="G148" t="s">
        <v>47</v>
      </c>
      <c r="H148" t="s">
        <v>48</v>
      </c>
      <c r="I148" t="s">
        <v>49</v>
      </c>
      <c r="J148" t="s">
        <v>24</v>
      </c>
      <c r="K148" t="s">
        <v>212</v>
      </c>
      <c r="L148" t="s">
        <v>457</v>
      </c>
      <c r="M148" s="1">
        <v>74345.740000000005</v>
      </c>
      <c r="N148">
        <v>5</v>
      </c>
      <c r="O148" s="2">
        <v>0.2</v>
      </c>
      <c r="P148" s="1">
        <v>915.57</v>
      </c>
      <c r="Q148" t="s">
        <v>115</v>
      </c>
      <c r="R148" t="s">
        <v>28</v>
      </c>
    </row>
    <row r="149" spans="1:18" x14ac:dyDescent="0.3">
      <c r="A149">
        <v>1148</v>
      </c>
      <c r="B149" s="3">
        <v>45983</v>
      </c>
      <c r="C149" s="3">
        <v>45985</v>
      </c>
      <c r="D149" t="s">
        <v>458</v>
      </c>
      <c r="E149" t="s">
        <v>459</v>
      </c>
      <c r="F149" t="s">
        <v>20</v>
      </c>
      <c r="G149" t="s">
        <v>118</v>
      </c>
      <c r="H149" t="s">
        <v>118</v>
      </c>
      <c r="I149" t="s">
        <v>34</v>
      </c>
      <c r="J149" t="s">
        <v>24</v>
      </c>
      <c r="K149" t="s">
        <v>224</v>
      </c>
      <c r="L149" t="s">
        <v>460</v>
      </c>
      <c r="M149" s="1">
        <v>78492.160000000003</v>
      </c>
      <c r="N149">
        <v>7</v>
      </c>
      <c r="O149" s="2">
        <v>0.25</v>
      </c>
      <c r="P149" s="1">
        <v>13518.4</v>
      </c>
      <c r="Q149" t="s">
        <v>82</v>
      </c>
      <c r="R149" t="s">
        <v>120</v>
      </c>
    </row>
    <row r="150" spans="1:18" x14ac:dyDescent="0.3">
      <c r="A150">
        <v>1149</v>
      </c>
      <c r="B150" s="3">
        <v>45641</v>
      </c>
      <c r="C150" s="3">
        <v>45646</v>
      </c>
      <c r="D150" t="s">
        <v>461</v>
      </c>
      <c r="E150" t="s">
        <v>462</v>
      </c>
      <c r="F150" t="s">
        <v>20</v>
      </c>
      <c r="G150" t="s">
        <v>85</v>
      </c>
      <c r="H150" t="s">
        <v>86</v>
      </c>
      <c r="I150" t="s">
        <v>49</v>
      </c>
      <c r="J150" t="s">
        <v>24</v>
      </c>
      <c r="K150" t="s">
        <v>25</v>
      </c>
      <c r="L150" t="s">
        <v>463</v>
      </c>
      <c r="M150" s="1">
        <v>2321.25</v>
      </c>
      <c r="N150">
        <v>7</v>
      </c>
      <c r="O150" s="2">
        <v>0.1</v>
      </c>
      <c r="P150" s="1">
        <v>195.4</v>
      </c>
      <c r="Q150" t="s">
        <v>27</v>
      </c>
      <c r="R150" t="s">
        <v>120</v>
      </c>
    </row>
    <row r="151" spans="1:18" x14ac:dyDescent="0.3">
      <c r="A151">
        <v>1150</v>
      </c>
      <c r="B151" s="3">
        <v>45910</v>
      </c>
      <c r="C151" s="3">
        <v>45914</v>
      </c>
      <c r="D151" t="s">
        <v>464</v>
      </c>
      <c r="E151" t="s">
        <v>465</v>
      </c>
      <c r="F151" t="s">
        <v>46</v>
      </c>
      <c r="G151" t="s">
        <v>112</v>
      </c>
      <c r="H151" t="s">
        <v>113</v>
      </c>
      <c r="I151" t="s">
        <v>49</v>
      </c>
      <c r="J151" t="s">
        <v>24</v>
      </c>
      <c r="K151" t="s">
        <v>212</v>
      </c>
      <c r="L151" t="s">
        <v>466</v>
      </c>
      <c r="M151" s="1">
        <v>67478.05</v>
      </c>
      <c r="N151">
        <v>3</v>
      </c>
      <c r="O151" s="2">
        <v>0.15</v>
      </c>
      <c r="P151" s="1">
        <v>14437.61</v>
      </c>
      <c r="Q151" t="s">
        <v>82</v>
      </c>
      <c r="R151" t="s">
        <v>120</v>
      </c>
    </row>
    <row r="152" spans="1:18" x14ac:dyDescent="0.3">
      <c r="A152">
        <v>1151</v>
      </c>
      <c r="B152" s="3">
        <v>45797</v>
      </c>
      <c r="C152" s="3">
        <v>45800</v>
      </c>
      <c r="D152" t="s">
        <v>467</v>
      </c>
      <c r="E152" t="s">
        <v>468</v>
      </c>
      <c r="F152" t="s">
        <v>46</v>
      </c>
      <c r="G152" t="s">
        <v>47</v>
      </c>
      <c r="H152" t="s">
        <v>48</v>
      </c>
      <c r="I152" t="s">
        <v>49</v>
      </c>
      <c r="J152" t="s">
        <v>35</v>
      </c>
      <c r="K152" t="s">
        <v>36</v>
      </c>
      <c r="L152" t="s">
        <v>469</v>
      </c>
      <c r="M152" s="1">
        <v>35947.870000000003</v>
      </c>
      <c r="N152">
        <v>4</v>
      </c>
      <c r="O152" s="2">
        <v>0.2</v>
      </c>
      <c r="P152" s="1">
        <v>1144.1199999999999</v>
      </c>
      <c r="Q152" t="s">
        <v>38</v>
      </c>
      <c r="R152" t="s">
        <v>120</v>
      </c>
    </row>
    <row r="153" spans="1:18" x14ac:dyDescent="0.3">
      <c r="A153">
        <v>1152</v>
      </c>
      <c r="B153" s="3">
        <v>45417</v>
      </c>
      <c r="C153" s="3">
        <v>45422</v>
      </c>
      <c r="D153" t="s">
        <v>308</v>
      </c>
      <c r="E153" t="s">
        <v>470</v>
      </c>
      <c r="F153" t="s">
        <v>20</v>
      </c>
      <c r="G153" t="s">
        <v>90</v>
      </c>
      <c r="H153" t="s">
        <v>91</v>
      </c>
      <c r="I153" t="s">
        <v>23</v>
      </c>
      <c r="J153" t="s">
        <v>35</v>
      </c>
      <c r="K153" t="s">
        <v>42</v>
      </c>
      <c r="L153" t="s">
        <v>471</v>
      </c>
      <c r="M153" s="1">
        <v>7332.35</v>
      </c>
      <c r="N153">
        <v>7</v>
      </c>
      <c r="O153" s="2">
        <v>0.15</v>
      </c>
      <c r="P153" s="1">
        <v>887.36</v>
      </c>
      <c r="Q153" t="s">
        <v>52</v>
      </c>
      <c r="R153" t="s">
        <v>28</v>
      </c>
    </row>
    <row r="154" spans="1:18" x14ac:dyDescent="0.3">
      <c r="A154">
        <v>1153</v>
      </c>
      <c r="B154" s="3">
        <v>45978</v>
      </c>
      <c r="C154" s="3">
        <v>45980</v>
      </c>
      <c r="D154" t="s">
        <v>472</v>
      </c>
      <c r="E154" t="s">
        <v>473</v>
      </c>
      <c r="F154" t="s">
        <v>31</v>
      </c>
      <c r="G154" t="s">
        <v>32</v>
      </c>
      <c r="H154" t="s">
        <v>33</v>
      </c>
      <c r="I154" t="s">
        <v>34</v>
      </c>
      <c r="J154" t="s">
        <v>35</v>
      </c>
      <c r="K154" t="s">
        <v>59</v>
      </c>
      <c r="L154" t="s">
        <v>474</v>
      </c>
      <c r="M154" s="1">
        <v>38605.86</v>
      </c>
      <c r="N154">
        <v>5</v>
      </c>
      <c r="O154" s="2">
        <v>0.3</v>
      </c>
      <c r="P154" s="1">
        <v>3902.4</v>
      </c>
      <c r="Q154" t="s">
        <v>67</v>
      </c>
      <c r="R154" t="s">
        <v>39</v>
      </c>
    </row>
    <row r="155" spans="1:18" x14ac:dyDescent="0.3">
      <c r="A155">
        <v>1154</v>
      </c>
      <c r="B155" s="3">
        <v>45946</v>
      </c>
      <c r="C155" s="3">
        <v>45951</v>
      </c>
      <c r="D155" t="s">
        <v>475</v>
      </c>
      <c r="E155" t="s">
        <v>160</v>
      </c>
      <c r="F155" t="s">
        <v>46</v>
      </c>
      <c r="G155" t="s">
        <v>118</v>
      </c>
      <c r="H155" t="s">
        <v>118</v>
      </c>
      <c r="I155" t="s">
        <v>34</v>
      </c>
      <c r="J155" t="s">
        <v>24</v>
      </c>
      <c r="K155" t="s">
        <v>72</v>
      </c>
      <c r="L155" t="s">
        <v>476</v>
      </c>
      <c r="M155" s="1">
        <v>76906.58</v>
      </c>
      <c r="N155">
        <v>7</v>
      </c>
      <c r="O155" s="2">
        <v>0.15</v>
      </c>
      <c r="P155" s="1">
        <v>17640.54</v>
      </c>
      <c r="Q155" t="s">
        <v>52</v>
      </c>
      <c r="R155" t="s">
        <v>28</v>
      </c>
    </row>
    <row r="156" spans="1:18" x14ac:dyDescent="0.3">
      <c r="A156">
        <v>1155</v>
      </c>
      <c r="B156" s="3">
        <v>45948</v>
      </c>
      <c r="C156" s="3">
        <v>45952</v>
      </c>
      <c r="D156" t="s">
        <v>383</v>
      </c>
      <c r="E156" t="s">
        <v>477</v>
      </c>
      <c r="F156" t="s">
        <v>31</v>
      </c>
      <c r="G156" t="s">
        <v>21</v>
      </c>
      <c r="H156" t="s">
        <v>22</v>
      </c>
      <c r="I156" t="s">
        <v>23</v>
      </c>
      <c r="J156" t="s">
        <v>24</v>
      </c>
      <c r="K156" t="s">
        <v>50</v>
      </c>
      <c r="L156" t="s">
        <v>478</v>
      </c>
      <c r="M156" s="1">
        <v>49068.51</v>
      </c>
      <c r="N156">
        <v>8</v>
      </c>
      <c r="O156" s="2">
        <v>0.25</v>
      </c>
      <c r="P156" s="1">
        <v>1208.9000000000001</v>
      </c>
      <c r="Q156" t="s">
        <v>61</v>
      </c>
      <c r="R156" t="s">
        <v>53</v>
      </c>
    </row>
    <row r="157" spans="1:18" x14ac:dyDescent="0.3">
      <c r="A157">
        <v>1156</v>
      </c>
      <c r="B157" s="3">
        <v>45527</v>
      </c>
      <c r="C157" s="3">
        <v>45528</v>
      </c>
      <c r="D157" t="s">
        <v>223</v>
      </c>
      <c r="E157" t="s">
        <v>479</v>
      </c>
      <c r="F157" t="s">
        <v>31</v>
      </c>
      <c r="G157" t="s">
        <v>56</v>
      </c>
      <c r="H157" t="s">
        <v>57</v>
      </c>
      <c r="I157" t="s">
        <v>58</v>
      </c>
      <c r="J157" t="s">
        <v>35</v>
      </c>
      <c r="K157" t="s">
        <v>36</v>
      </c>
      <c r="L157" t="s">
        <v>480</v>
      </c>
      <c r="M157" s="1">
        <v>56815.46</v>
      </c>
      <c r="N157">
        <v>6</v>
      </c>
      <c r="O157" s="2">
        <v>0.3</v>
      </c>
      <c r="P157" s="1">
        <v>5291.29</v>
      </c>
      <c r="Q157" t="s">
        <v>61</v>
      </c>
      <c r="R157" t="s">
        <v>120</v>
      </c>
    </row>
    <row r="158" spans="1:18" x14ac:dyDescent="0.3">
      <c r="A158">
        <v>1157</v>
      </c>
      <c r="B158" s="3">
        <v>45464</v>
      </c>
      <c r="C158" s="3">
        <v>45467</v>
      </c>
      <c r="D158" t="s">
        <v>110</v>
      </c>
      <c r="E158" t="s">
        <v>481</v>
      </c>
      <c r="F158" t="s">
        <v>31</v>
      </c>
      <c r="G158" t="s">
        <v>47</v>
      </c>
      <c r="H158" t="s">
        <v>48</v>
      </c>
      <c r="I158" t="s">
        <v>49</v>
      </c>
      <c r="J158" t="s">
        <v>64</v>
      </c>
      <c r="K158" t="s">
        <v>80</v>
      </c>
      <c r="L158" t="s">
        <v>482</v>
      </c>
      <c r="M158" s="1">
        <v>47858.58</v>
      </c>
      <c r="N158">
        <v>4</v>
      </c>
      <c r="O158" s="2">
        <v>0.3</v>
      </c>
      <c r="P158" s="1">
        <v>-1783.77</v>
      </c>
      <c r="Q158" t="s">
        <v>67</v>
      </c>
      <c r="R158" t="s">
        <v>120</v>
      </c>
    </row>
    <row r="159" spans="1:18" x14ac:dyDescent="0.3">
      <c r="A159">
        <v>1158</v>
      </c>
      <c r="B159" s="3">
        <v>45587</v>
      </c>
      <c r="C159" s="3">
        <v>45589</v>
      </c>
      <c r="D159" t="s">
        <v>483</v>
      </c>
      <c r="E159" t="s">
        <v>484</v>
      </c>
      <c r="F159" t="s">
        <v>46</v>
      </c>
      <c r="G159" t="s">
        <v>95</v>
      </c>
      <c r="H159" t="s">
        <v>22</v>
      </c>
      <c r="I159" t="s">
        <v>23</v>
      </c>
      <c r="J159" t="s">
        <v>64</v>
      </c>
      <c r="K159" t="s">
        <v>80</v>
      </c>
      <c r="L159" t="s">
        <v>485</v>
      </c>
      <c r="M159" s="1">
        <v>8575.33</v>
      </c>
      <c r="N159">
        <v>6</v>
      </c>
      <c r="O159" s="2">
        <v>0.2</v>
      </c>
      <c r="P159" s="1">
        <v>1762.45</v>
      </c>
      <c r="Q159" t="s">
        <v>38</v>
      </c>
      <c r="R159" t="s">
        <v>39</v>
      </c>
    </row>
    <row r="160" spans="1:18" x14ac:dyDescent="0.3">
      <c r="A160">
        <v>1159</v>
      </c>
      <c r="B160" s="3">
        <v>45623</v>
      </c>
      <c r="C160" s="3">
        <v>45624</v>
      </c>
      <c r="D160" t="s">
        <v>254</v>
      </c>
      <c r="E160" t="s">
        <v>486</v>
      </c>
      <c r="F160" t="s">
        <v>20</v>
      </c>
      <c r="G160" t="s">
        <v>102</v>
      </c>
      <c r="H160" t="s">
        <v>103</v>
      </c>
      <c r="I160" t="s">
        <v>58</v>
      </c>
      <c r="J160" t="s">
        <v>64</v>
      </c>
      <c r="K160" t="s">
        <v>157</v>
      </c>
      <c r="L160" t="s">
        <v>487</v>
      </c>
      <c r="M160" s="1">
        <v>48052.2</v>
      </c>
      <c r="N160">
        <v>1</v>
      </c>
      <c r="O160" s="2">
        <v>0.05</v>
      </c>
      <c r="P160" s="1">
        <v>12705.61</v>
      </c>
      <c r="Q160" t="s">
        <v>67</v>
      </c>
      <c r="R160" t="s">
        <v>28</v>
      </c>
    </row>
    <row r="161" spans="1:18" x14ac:dyDescent="0.3">
      <c r="A161">
        <v>1160</v>
      </c>
      <c r="B161" s="3">
        <v>45342</v>
      </c>
      <c r="C161" s="3">
        <v>45348</v>
      </c>
      <c r="D161" t="s">
        <v>488</v>
      </c>
      <c r="E161" t="s">
        <v>489</v>
      </c>
      <c r="F161" t="s">
        <v>20</v>
      </c>
      <c r="G161" t="s">
        <v>118</v>
      </c>
      <c r="H161" t="s">
        <v>118</v>
      </c>
      <c r="I161" t="s">
        <v>34</v>
      </c>
      <c r="J161" t="s">
        <v>64</v>
      </c>
      <c r="K161" t="s">
        <v>80</v>
      </c>
      <c r="L161" t="s">
        <v>490</v>
      </c>
      <c r="M161" s="1">
        <v>14837.1</v>
      </c>
      <c r="N161">
        <v>9</v>
      </c>
      <c r="O161" s="2">
        <v>0.1</v>
      </c>
      <c r="P161" s="1">
        <v>3307.51</v>
      </c>
      <c r="Q161" t="s">
        <v>115</v>
      </c>
      <c r="R161" t="s">
        <v>28</v>
      </c>
    </row>
    <row r="162" spans="1:18" x14ac:dyDescent="0.3">
      <c r="A162">
        <v>1161</v>
      </c>
      <c r="B162" s="3">
        <v>45954</v>
      </c>
      <c r="C162" s="3">
        <v>45956</v>
      </c>
      <c r="D162" t="s">
        <v>491</v>
      </c>
      <c r="E162" t="s">
        <v>187</v>
      </c>
      <c r="F162" t="s">
        <v>46</v>
      </c>
      <c r="G162" t="s">
        <v>85</v>
      </c>
      <c r="H162" t="s">
        <v>86</v>
      </c>
      <c r="I162" t="s">
        <v>49</v>
      </c>
      <c r="J162" t="s">
        <v>24</v>
      </c>
      <c r="K162" t="s">
        <v>25</v>
      </c>
      <c r="L162" t="s">
        <v>492</v>
      </c>
      <c r="M162" s="1">
        <v>85906.86</v>
      </c>
      <c r="N162">
        <v>2</v>
      </c>
      <c r="O162" s="2">
        <v>0</v>
      </c>
      <c r="P162" s="1">
        <v>10593.13</v>
      </c>
      <c r="Q162" t="s">
        <v>67</v>
      </c>
      <c r="R162" t="s">
        <v>28</v>
      </c>
    </row>
    <row r="163" spans="1:18" x14ac:dyDescent="0.3">
      <c r="A163">
        <v>1162</v>
      </c>
      <c r="B163" s="3">
        <v>45984</v>
      </c>
      <c r="C163" s="3">
        <v>45989</v>
      </c>
      <c r="D163" t="s">
        <v>131</v>
      </c>
      <c r="E163" t="s">
        <v>493</v>
      </c>
      <c r="F163" t="s">
        <v>31</v>
      </c>
      <c r="G163" t="s">
        <v>118</v>
      </c>
      <c r="H163" t="s">
        <v>118</v>
      </c>
      <c r="I163" t="s">
        <v>34</v>
      </c>
      <c r="J163" t="s">
        <v>64</v>
      </c>
      <c r="K163" t="s">
        <v>188</v>
      </c>
      <c r="L163" t="s">
        <v>494</v>
      </c>
      <c r="M163" s="1">
        <v>11094.51</v>
      </c>
      <c r="N163">
        <v>6</v>
      </c>
      <c r="O163" s="2">
        <v>0.2</v>
      </c>
      <c r="P163" s="1">
        <v>2328.6</v>
      </c>
      <c r="Q163" t="s">
        <v>67</v>
      </c>
      <c r="R163" t="s">
        <v>53</v>
      </c>
    </row>
    <row r="164" spans="1:18" x14ac:dyDescent="0.3">
      <c r="A164">
        <v>1163</v>
      </c>
      <c r="B164" s="3">
        <v>45907</v>
      </c>
      <c r="C164" s="3">
        <v>45911</v>
      </c>
      <c r="D164" t="s">
        <v>44</v>
      </c>
      <c r="E164" t="s">
        <v>495</v>
      </c>
      <c r="F164" t="s">
        <v>20</v>
      </c>
      <c r="G164" t="s">
        <v>21</v>
      </c>
      <c r="H164" t="s">
        <v>22</v>
      </c>
      <c r="I164" t="s">
        <v>23</v>
      </c>
      <c r="J164" t="s">
        <v>24</v>
      </c>
      <c r="K164" t="s">
        <v>25</v>
      </c>
      <c r="L164" t="s">
        <v>496</v>
      </c>
      <c r="M164" s="1">
        <v>29369.58</v>
      </c>
      <c r="N164">
        <v>7</v>
      </c>
      <c r="O164" s="2">
        <v>0.15</v>
      </c>
      <c r="P164" s="1">
        <v>4835.79</v>
      </c>
      <c r="Q164" t="s">
        <v>38</v>
      </c>
      <c r="R164" t="s">
        <v>28</v>
      </c>
    </row>
    <row r="165" spans="1:18" x14ac:dyDescent="0.3">
      <c r="A165">
        <v>1164</v>
      </c>
      <c r="B165" s="3">
        <v>45460</v>
      </c>
      <c r="C165" s="3">
        <v>45465</v>
      </c>
      <c r="D165" t="s">
        <v>497</v>
      </c>
      <c r="E165" t="s">
        <v>498</v>
      </c>
      <c r="F165" t="s">
        <v>46</v>
      </c>
      <c r="G165" t="s">
        <v>107</v>
      </c>
      <c r="H165" t="s">
        <v>108</v>
      </c>
      <c r="I165" t="s">
        <v>34</v>
      </c>
      <c r="J165" t="s">
        <v>64</v>
      </c>
      <c r="K165" t="s">
        <v>80</v>
      </c>
      <c r="L165" t="s">
        <v>499</v>
      </c>
      <c r="M165" s="1">
        <v>47741.8</v>
      </c>
      <c r="N165">
        <v>9</v>
      </c>
      <c r="O165" s="2">
        <v>0.15</v>
      </c>
      <c r="P165" s="1">
        <v>4104.05</v>
      </c>
      <c r="Q165" t="s">
        <v>67</v>
      </c>
      <c r="R165" t="s">
        <v>53</v>
      </c>
    </row>
    <row r="166" spans="1:18" x14ac:dyDescent="0.3">
      <c r="A166">
        <v>1165</v>
      </c>
      <c r="B166" s="3">
        <v>45941</v>
      </c>
      <c r="C166" s="3">
        <v>45942</v>
      </c>
      <c r="D166" t="s">
        <v>500</v>
      </c>
      <c r="E166" t="s">
        <v>501</v>
      </c>
      <c r="F166" t="s">
        <v>20</v>
      </c>
      <c r="G166" t="s">
        <v>32</v>
      </c>
      <c r="H166" t="s">
        <v>33</v>
      </c>
      <c r="I166" t="s">
        <v>34</v>
      </c>
      <c r="J166" t="s">
        <v>24</v>
      </c>
      <c r="K166" t="s">
        <v>50</v>
      </c>
      <c r="L166" t="s">
        <v>502</v>
      </c>
      <c r="M166" s="1">
        <v>60265.05</v>
      </c>
      <c r="N166">
        <v>2</v>
      </c>
      <c r="O166" s="2">
        <v>0.05</v>
      </c>
      <c r="P166" s="1">
        <v>13826.54</v>
      </c>
      <c r="Q166" t="s">
        <v>52</v>
      </c>
      <c r="R166" t="s">
        <v>53</v>
      </c>
    </row>
    <row r="167" spans="1:18" x14ac:dyDescent="0.3">
      <c r="A167">
        <v>1166</v>
      </c>
      <c r="B167" s="3">
        <v>45962</v>
      </c>
      <c r="C167" s="3">
        <v>45964</v>
      </c>
      <c r="D167" t="s">
        <v>503</v>
      </c>
      <c r="E167" t="s">
        <v>504</v>
      </c>
      <c r="F167" t="s">
        <v>31</v>
      </c>
      <c r="G167" t="s">
        <v>90</v>
      </c>
      <c r="H167" t="s">
        <v>91</v>
      </c>
      <c r="I167" t="s">
        <v>23</v>
      </c>
      <c r="J167" t="s">
        <v>35</v>
      </c>
      <c r="K167" t="s">
        <v>36</v>
      </c>
      <c r="L167" t="s">
        <v>505</v>
      </c>
      <c r="M167" s="1">
        <v>48374.29</v>
      </c>
      <c r="N167">
        <v>9</v>
      </c>
      <c r="O167" s="2">
        <v>0</v>
      </c>
      <c r="P167" s="1">
        <v>7650.65</v>
      </c>
      <c r="Q167" t="s">
        <v>67</v>
      </c>
      <c r="R167" t="s">
        <v>39</v>
      </c>
    </row>
    <row r="168" spans="1:18" x14ac:dyDescent="0.3">
      <c r="A168">
        <v>1167</v>
      </c>
      <c r="B168" s="3">
        <v>45414</v>
      </c>
      <c r="C168" s="3">
        <v>45418</v>
      </c>
      <c r="D168" t="s">
        <v>186</v>
      </c>
      <c r="E168" t="s">
        <v>387</v>
      </c>
      <c r="F168" t="s">
        <v>20</v>
      </c>
      <c r="G168" t="s">
        <v>47</v>
      </c>
      <c r="H168" t="s">
        <v>48</v>
      </c>
      <c r="I168" t="s">
        <v>49</v>
      </c>
      <c r="J168" t="s">
        <v>35</v>
      </c>
      <c r="K168" t="s">
        <v>59</v>
      </c>
      <c r="L168" t="s">
        <v>506</v>
      </c>
      <c r="M168" s="1">
        <v>23716.11</v>
      </c>
      <c r="N168">
        <v>5</v>
      </c>
      <c r="O168" s="2">
        <v>0</v>
      </c>
      <c r="P168" s="1">
        <v>4325.82</v>
      </c>
      <c r="Q168" t="s">
        <v>115</v>
      </c>
      <c r="R168" t="s">
        <v>39</v>
      </c>
    </row>
    <row r="169" spans="1:18" x14ac:dyDescent="0.3">
      <c r="A169">
        <v>1168</v>
      </c>
      <c r="B169" s="3">
        <v>45428</v>
      </c>
      <c r="C169" s="3">
        <v>45433</v>
      </c>
      <c r="D169" t="s">
        <v>507</v>
      </c>
      <c r="E169" t="s">
        <v>508</v>
      </c>
      <c r="F169" t="s">
        <v>20</v>
      </c>
      <c r="G169" t="s">
        <v>21</v>
      </c>
      <c r="H169" t="s">
        <v>22</v>
      </c>
      <c r="I169" t="s">
        <v>23</v>
      </c>
      <c r="J169" t="s">
        <v>24</v>
      </c>
      <c r="K169" t="s">
        <v>224</v>
      </c>
      <c r="L169" t="s">
        <v>509</v>
      </c>
      <c r="M169" s="1">
        <v>8443.32</v>
      </c>
      <c r="N169">
        <v>7</v>
      </c>
      <c r="O169" s="2">
        <v>0</v>
      </c>
      <c r="P169" s="1">
        <v>1172.3599999999999</v>
      </c>
      <c r="Q169" t="s">
        <v>115</v>
      </c>
      <c r="R169" t="s">
        <v>28</v>
      </c>
    </row>
    <row r="170" spans="1:18" x14ac:dyDescent="0.3">
      <c r="A170">
        <v>1169</v>
      </c>
      <c r="B170" s="3">
        <v>45977</v>
      </c>
      <c r="C170" s="3">
        <v>45982</v>
      </c>
      <c r="D170" t="s">
        <v>330</v>
      </c>
      <c r="E170" t="s">
        <v>510</v>
      </c>
      <c r="F170" t="s">
        <v>31</v>
      </c>
      <c r="G170" t="s">
        <v>85</v>
      </c>
      <c r="H170" t="s">
        <v>86</v>
      </c>
      <c r="I170" t="s">
        <v>49</v>
      </c>
      <c r="J170" t="s">
        <v>35</v>
      </c>
      <c r="K170" t="s">
        <v>59</v>
      </c>
      <c r="L170" t="s">
        <v>511</v>
      </c>
      <c r="M170" s="1">
        <v>72313.77</v>
      </c>
      <c r="N170">
        <v>6</v>
      </c>
      <c r="O170" s="2">
        <v>0</v>
      </c>
      <c r="P170" s="1">
        <v>19426.14</v>
      </c>
      <c r="Q170" t="s">
        <v>52</v>
      </c>
      <c r="R170" t="s">
        <v>53</v>
      </c>
    </row>
    <row r="171" spans="1:18" x14ac:dyDescent="0.3">
      <c r="A171">
        <v>1170</v>
      </c>
      <c r="B171" s="3">
        <v>45904</v>
      </c>
      <c r="C171" s="3">
        <v>45910</v>
      </c>
      <c r="D171" t="s">
        <v>512</v>
      </c>
      <c r="E171" t="s">
        <v>513</v>
      </c>
      <c r="F171" t="s">
        <v>20</v>
      </c>
      <c r="G171" t="s">
        <v>70</v>
      </c>
      <c r="H171" t="s">
        <v>71</v>
      </c>
      <c r="I171" t="s">
        <v>58</v>
      </c>
      <c r="J171" t="s">
        <v>35</v>
      </c>
      <c r="K171" t="s">
        <v>129</v>
      </c>
      <c r="L171" t="s">
        <v>514</v>
      </c>
      <c r="M171" s="1">
        <v>75940.58</v>
      </c>
      <c r="N171">
        <v>4</v>
      </c>
      <c r="O171" s="2">
        <v>0.25</v>
      </c>
      <c r="P171" s="1">
        <v>7746.73</v>
      </c>
      <c r="Q171" t="s">
        <v>27</v>
      </c>
      <c r="R171" t="s">
        <v>28</v>
      </c>
    </row>
    <row r="172" spans="1:18" x14ac:dyDescent="0.3">
      <c r="A172">
        <v>1171</v>
      </c>
      <c r="B172" s="3">
        <v>45459</v>
      </c>
      <c r="C172" s="3">
        <v>45463</v>
      </c>
      <c r="D172" t="s">
        <v>515</v>
      </c>
      <c r="E172" t="s">
        <v>516</v>
      </c>
      <c r="F172" t="s">
        <v>31</v>
      </c>
      <c r="G172" t="s">
        <v>90</v>
      </c>
      <c r="H172" t="s">
        <v>91</v>
      </c>
      <c r="I172" t="s">
        <v>23</v>
      </c>
      <c r="J172" t="s">
        <v>64</v>
      </c>
      <c r="K172" t="s">
        <v>65</v>
      </c>
      <c r="L172" t="s">
        <v>517</v>
      </c>
      <c r="M172" s="1">
        <v>70895.740000000005</v>
      </c>
      <c r="N172">
        <v>7</v>
      </c>
      <c r="O172" s="2">
        <v>0.1</v>
      </c>
      <c r="P172" s="1">
        <v>15298.87</v>
      </c>
      <c r="Q172" t="s">
        <v>61</v>
      </c>
      <c r="R172" t="s">
        <v>39</v>
      </c>
    </row>
    <row r="173" spans="1:18" x14ac:dyDescent="0.3">
      <c r="A173">
        <v>1172</v>
      </c>
      <c r="B173" s="3">
        <v>45897</v>
      </c>
      <c r="C173" s="3">
        <v>45899</v>
      </c>
      <c r="D173" t="s">
        <v>518</v>
      </c>
      <c r="E173" t="s">
        <v>519</v>
      </c>
      <c r="F173" t="s">
        <v>31</v>
      </c>
      <c r="G173" t="s">
        <v>118</v>
      </c>
      <c r="H173" t="s">
        <v>118</v>
      </c>
      <c r="I173" t="s">
        <v>34</v>
      </c>
      <c r="J173" t="s">
        <v>35</v>
      </c>
      <c r="K173" t="s">
        <v>129</v>
      </c>
      <c r="L173" t="s">
        <v>520</v>
      </c>
      <c r="M173" s="1">
        <v>82985.2</v>
      </c>
      <c r="N173">
        <v>6</v>
      </c>
      <c r="O173" s="2">
        <v>0.1</v>
      </c>
      <c r="P173" s="1">
        <v>9530.94</v>
      </c>
      <c r="Q173" t="s">
        <v>27</v>
      </c>
      <c r="R173" t="s">
        <v>120</v>
      </c>
    </row>
    <row r="174" spans="1:18" x14ac:dyDescent="0.3">
      <c r="A174">
        <v>1173</v>
      </c>
      <c r="B174" s="3">
        <v>45826</v>
      </c>
      <c r="C174" s="3">
        <v>45830</v>
      </c>
      <c r="D174" t="s">
        <v>342</v>
      </c>
      <c r="E174" t="s">
        <v>63</v>
      </c>
      <c r="F174" t="s">
        <v>46</v>
      </c>
      <c r="G174" t="s">
        <v>107</v>
      </c>
      <c r="H174" t="s">
        <v>108</v>
      </c>
      <c r="I174" t="s">
        <v>34</v>
      </c>
      <c r="J174" t="s">
        <v>64</v>
      </c>
      <c r="K174" t="s">
        <v>188</v>
      </c>
      <c r="L174" t="s">
        <v>521</v>
      </c>
      <c r="M174" s="1">
        <v>17835.8</v>
      </c>
      <c r="N174">
        <v>7</v>
      </c>
      <c r="O174" s="2">
        <v>0.2</v>
      </c>
      <c r="P174" s="1">
        <v>529.13</v>
      </c>
      <c r="Q174" t="s">
        <v>82</v>
      </c>
      <c r="R174" t="s">
        <v>120</v>
      </c>
    </row>
    <row r="175" spans="1:18" x14ac:dyDescent="0.3">
      <c r="A175">
        <v>1174</v>
      </c>
      <c r="B175" s="3">
        <v>45860</v>
      </c>
      <c r="C175" s="3">
        <v>45866</v>
      </c>
      <c r="D175" t="s">
        <v>355</v>
      </c>
      <c r="E175" t="s">
        <v>522</v>
      </c>
      <c r="F175" t="s">
        <v>46</v>
      </c>
      <c r="G175" t="s">
        <v>107</v>
      </c>
      <c r="H175" t="s">
        <v>108</v>
      </c>
      <c r="I175" t="s">
        <v>34</v>
      </c>
      <c r="J175" t="s">
        <v>35</v>
      </c>
      <c r="K175" t="s">
        <v>129</v>
      </c>
      <c r="L175" t="s">
        <v>523</v>
      </c>
      <c r="M175" s="1">
        <v>87961.7</v>
      </c>
      <c r="N175">
        <v>7</v>
      </c>
      <c r="O175" s="2">
        <v>0.3</v>
      </c>
      <c r="P175" s="1">
        <v>6922.2</v>
      </c>
      <c r="Q175" t="s">
        <v>52</v>
      </c>
      <c r="R175" t="s">
        <v>39</v>
      </c>
    </row>
    <row r="176" spans="1:18" x14ac:dyDescent="0.3">
      <c r="A176">
        <v>1175</v>
      </c>
      <c r="B176" s="3">
        <v>45783</v>
      </c>
      <c r="C176" s="3">
        <v>45787</v>
      </c>
      <c r="D176" t="s">
        <v>142</v>
      </c>
      <c r="E176" t="s">
        <v>218</v>
      </c>
      <c r="F176" t="s">
        <v>31</v>
      </c>
      <c r="G176" t="s">
        <v>112</v>
      </c>
      <c r="H176" t="s">
        <v>113</v>
      </c>
      <c r="I176" t="s">
        <v>49</v>
      </c>
      <c r="J176" t="s">
        <v>35</v>
      </c>
      <c r="K176" t="s">
        <v>42</v>
      </c>
      <c r="L176" t="s">
        <v>524</v>
      </c>
      <c r="M176" s="1">
        <v>66165.64</v>
      </c>
      <c r="N176">
        <v>3</v>
      </c>
      <c r="O176" s="2">
        <v>0.2</v>
      </c>
      <c r="P176" s="1">
        <v>1277.08</v>
      </c>
      <c r="Q176" t="s">
        <v>38</v>
      </c>
      <c r="R176" t="s">
        <v>28</v>
      </c>
    </row>
    <row r="177" spans="1:18" x14ac:dyDescent="0.3">
      <c r="A177">
        <v>1176</v>
      </c>
      <c r="B177" s="3">
        <v>45926</v>
      </c>
      <c r="C177" s="3">
        <v>45932</v>
      </c>
      <c r="D177" t="s">
        <v>186</v>
      </c>
      <c r="E177" t="s">
        <v>525</v>
      </c>
      <c r="F177" t="s">
        <v>31</v>
      </c>
      <c r="G177" t="s">
        <v>70</v>
      </c>
      <c r="H177" t="s">
        <v>71</v>
      </c>
      <c r="I177" t="s">
        <v>58</v>
      </c>
      <c r="J177" t="s">
        <v>35</v>
      </c>
      <c r="K177" t="s">
        <v>59</v>
      </c>
      <c r="L177" t="s">
        <v>526</v>
      </c>
      <c r="M177" s="1">
        <v>20550.939999999999</v>
      </c>
      <c r="N177">
        <v>7</v>
      </c>
      <c r="O177" s="2">
        <v>0</v>
      </c>
      <c r="P177" s="1">
        <v>5184.76</v>
      </c>
      <c r="Q177" t="s">
        <v>61</v>
      </c>
      <c r="R177" t="s">
        <v>120</v>
      </c>
    </row>
    <row r="178" spans="1:18" x14ac:dyDescent="0.3">
      <c r="A178">
        <v>1177</v>
      </c>
      <c r="B178" s="3">
        <v>45622</v>
      </c>
      <c r="C178" s="3">
        <v>45625</v>
      </c>
      <c r="D178" t="s">
        <v>148</v>
      </c>
      <c r="E178" t="s">
        <v>229</v>
      </c>
      <c r="F178" t="s">
        <v>20</v>
      </c>
      <c r="G178" t="s">
        <v>85</v>
      </c>
      <c r="H178" t="s">
        <v>86</v>
      </c>
      <c r="I178" t="s">
        <v>49</v>
      </c>
      <c r="J178" t="s">
        <v>64</v>
      </c>
      <c r="K178" t="s">
        <v>157</v>
      </c>
      <c r="L178" t="s">
        <v>527</v>
      </c>
      <c r="M178" s="1">
        <v>89405.31</v>
      </c>
      <c r="N178">
        <v>8</v>
      </c>
      <c r="O178" s="2">
        <v>0.1</v>
      </c>
      <c r="P178" s="1">
        <v>11698.92</v>
      </c>
      <c r="Q178" t="s">
        <v>74</v>
      </c>
      <c r="R178" t="s">
        <v>120</v>
      </c>
    </row>
    <row r="179" spans="1:18" x14ac:dyDescent="0.3">
      <c r="A179">
        <v>1178</v>
      </c>
      <c r="B179" s="3">
        <v>45878</v>
      </c>
      <c r="C179" s="3">
        <v>45883</v>
      </c>
      <c r="D179" t="s">
        <v>446</v>
      </c>
      <c r="E179" t="s">
        <v>404</v>
      </c>
      <c r="F179" t="s">
        <v>46</v>
      </c>
      <c r="G179" t="s">
        <v>56</v>
      </c>
      <c r="H179" t="s">
        <v>57</v>
      </c>
      <c r="I179" t="s">
        <v>58</v>
      </c>
      <c r="J179" t="s">
        <v>35</v>
      </c>
      <c r="K179" t="s">
        <v>129</v>
      </c>
      <c r="L179" t="s">
        <v>528</v>
      </c>
      <c r="M179" s="1">
        <v>87938.1</v>
      </c>
      <c r="N179">
        <v>2</v>
      </c>
      <c r="O179" s="2">
        <v>0.05</v>
      </c>
      <c r="P179" s="1">
        <v>18609.169999999998</v>
      </c>
      <c r="Q179" t="s">
        <v>67</v>
      </c>
      <c r="R179" t="s">
        <v>39</v>
      </c>
    </row>
    <row r="180" spans="1:18" x14ac:dyDescent="0.3">
      <c r="A180">
        <v>1179</v>
      </c>
      <c r="B180" s="3">
        <v>45640</v>
      </c>
      <c r="C180" s="3">
        <v>45646</v>
      </c>
      <c r="D180" t="s">
        <v>529</v>
      </c>
      <c r="E180" t="s">
        <v>495</v>
      </c>
      <c r="F180" t="s">
        <v>31</v>
      </c>
      <c r="G180" t="s">
        <v>102</v>
      </c>
      <c r="H180" t="s">
        <v>103</v>
      </c>
      <c r="I180" t="s">
        <v>58</v>
      </c>
      <c r="J180" t="s">
        <v>35</v>
      </c>
      <c r="K180" t="s">
        <v>129</v>
      </c>
      <c r="L180" t="s">
        <v>530</v>
      </c>
      <c r="M180" s="1">
        <v>61373.919999999998</v>
      </c>
      <c r="N180">
        <v>7</v>
      </c>
      <c r="O180" s="2">
        <v>0.05</v>
      </c>
      <c r="P180" s="1">
        <v>7882.17</v>
      </c>
      <c r="Q180" t="s">
        <v>38</v>
      </c>
      <c r="R180" t="s">
        <v>28</v>
      </c>
    </row>
    <row r="181" spans="1:18" x14ac:dyDescent="0.3">
      <c r="A181">
        <v>1180</v>
      </c>
      <c r="B181" s="3">
        <v>45915</v>
      </c>
      <c r="C181" s="3">
        <v>45919</v>
      </c>
      <c r="D181" t="s">
        <v>193</v>
      </c>
      <c r="E181" t="s">
        <v>365</v>
      </c>
      <c r="F181" t="s">
        <v>20</v>
      </c>
      <c r="G181" t="s">
        <v>90</v>
      </c>
      <c r="H181" t="s">
        <v>91</v>
      </c>
      <c r="I181" t="s">
        <v>23</v>
      </c>
      <c r="J181" t="s">
        <v>24</v>
      </c>
      <c r="K181" t="s">
        <v>72</v>
      </c>
      <c r="L181" t="s">
        <v>531</v>
      </c>
      <c r="M181" s="1">
        <v>26182.51</v>
      </c>
      <c r="N181">
        <v>9</v>
      </c>
      <c r="O181" s="2">
        <v>0.2</v>
      </c>
      <c r="P181" s="1">
        <v>4206.1000000000004</v>
      </c>
      <c r="Q181" t="s">
        <v>38</v>
      </c>
      <c r="R181" t="s">
        <v>39</v>
      </c>
    </row>
    <row r="182" spans="1:18" x14ac:dyDescent="0.3">
      <c r="A182">
        <v>1181</v>
      </c>
      <c r="B182" s="3">
        <v>45465</v>
      </c>
      <c r="C182" s="3">
        <v>45468</v>
      </c>
      <c r="D182" t="s">
        <v>532</v>
      </c>
      <c r="E182" t="s">
        <v>533</v>
      </c>
      <c r="F182" t="s">
        <v>46</v>
      </c>
      <c r="G182" t="s">
        <v>85</v>
      </c>
      <c r="H182" t="s">
        <v>86</v>
      </c>
      <c r="I182" t="s">
        <v>49</v>
      </c>
      <c r="J182" t="s">
        <v>24</v>
      </c>
      <c r="K182" t="s">
        <v>50</v>
      </c>
      <c r="L182" t="s">
        <v>534</v>
      </c>
      <c r="M182" s="1">
        <v>13468.04</v>
      </c>
      <c r="N182">
        <v>4</v>
      </c>
      <c r="O182" s="2">
        <v>0.05</v>
      </c>
      <c r="P182" s="1">
        <v>2805.75</v>
      </c>
      <c r="Q182" t="s">
        <v>82</v>
      </c>
      <c r="R182" t="s">
        <v>28</v>
      </c>
    </row>
    <row r="183" spans="1:18" x14ac:dyDescent="0.3">
      <c r="A183">
        <v>1182</v>
      </c>
      <c r="B183" s="3">
        <v>45340</v>
      </c>
      <c r="C183" s="3">
        <v>45346</v>
      </c>
      <c r="D183" t="s">
        <v>159</v>
      </c>
      <c r="E183" t="s">
        <v>326</v>
      </c>
      <c r="F183" t="s">
        <v>46</v>
      </c>
      <c r="G183" t="s">
        <v>95</v>
      </c>
      <c r="H183" t="s">
        <v>22</v>
      </c>
      <c r="I183" t="s">
        <v>23</v>
      </c>
      <c r="J183" t="s">
        <v>64</v>
      </c>
      <c r="K183" t="s">
        <v>188</v>
      </c>
      <c r="L183" t="s">
        <v>535</v>
      </c>
      <c r="M183" s="1">
        <v>84043.7</v>
      </c>
      <c r="N183">
        <v>2</v>
      </c>
      <c r="O183" s="2">
        <v>0</v>
      </c>
      <c r="P183" s="1">
        <v>10694.06</v>
      </c>
      <c r="Q183" t="s">
        <v>67</v>
      </c>
      <c r="R183" t="s">
        <v>28</v>
      </c>
    </row>
    <row r="184" spans="1:18" x14ac:dyDescent="0.3">
      <c r="A184">
        <v>1183</v>
      </c>
      <c r="B184" s="3">
        <v>45679</v>
      </c>
      <c r="C184" s="3">
        <v>45684</v>
      </c>
      <c r="D184" t="s">
        <v>275</v>
      </c>
      <c r="E184" t="s">
        <v>536</v>
      </c>
      <c r="F184" t="s">
        <v>31</v>
      </c>
      <c r="G184" t="s">
        <v>56</v>
      </c>
      <c r="H184" t="s">
        <v>57</v>
      </c>
      <c r="I184" t="s">
        <v>58</v>
      </c>
      <c r="J184" t="s">
        <v>64</v>
      </c>
      <c r="K184" t="s">
        <v>104</v>
      </c>
      <c r="L184" t="s">
        <v>537</v>
      </c>
      <c r="M184" s="1">
        <v>33028.92</v>
      </c>
      <c r="N184">
        <v>4</v>
      </c>
      <c r="O184" s="2">
        <v>0</v>
      </c>
      <c r="P184" s="1">
        <v>8471.7900000000009</v>
      </c>
      <c r="Q184" t="s">
        <v>115</v>
      </c>
      <c r="R184" t="s">
        <v>53</v>
      </c>
    </row>
    <row r="185" spans="1:18" x14ac:dyDescent="0.3">
      <c r="A185">
        <v>1184</v>
      </c>
      <c r="B185" s="3">
        <v>45346</v>
      </c>
      <c r="C185" s="3">
        <v>45352</v>
      </c>
      <c r="D185" t="s">
        <v>538</v>
      </c>
      <c r="E185" t="s">
        <v>156</v>
      </c>
      <c r="F185" t="s">
        <v>20</v>
      </c>
      <c r="G185" t="s">
        <v>56</v>
      </c>
      <c r="H185" t="s">
        <v>57</v>
      </c>
      <c r="I185" t="s">
        <v>58</v>
      </c>
      <c r="J185" t="s">
        <v>64</v>
      </c>
      <c r="K185" t="s">
        <v>65</v>
      </c>
      <c r="L185" t="s">
        <v>539</v>
      </c>
      <c r="M185" s="1">
        <v>9806.77</v>
      </c>
      <c r="N185">
        <v>3</v>
      </c>
      <c r="O185" s="2">
        <v>0.15</v>
      </c>
      <c r="P185" s="1">
        <v>1788.64</v>
      </c>
      <c r="Q185" t="s">
        <v>27</v>
      </c>
      <c r="R185" t="s">
        <v>39</v>
      </c>
    </row>
    <row r="186" spans="1:18" x14ac:dyDescent="0.3">
      <c r="A186">
        <v>1185</v>
      </c>
      <c r="B186" s="3">
        <v>45560</v>
      </c>
      <c r="C186" s="3">
        <v>45566</v>
      </c>
      <c r="D186" t="s">
        <v>540</v>
      </c>
      <c r="E186" t="s">
        <v>247</v>
      </c>
      <c r="F186" t="s">
        <v>31</v>
      </c>
      <c r="G186" t="s">
        <v>56</v>
      </c>
      <c r="H186" t="s">
        <v>57</v>
      </c>
      <c r="I186" t="s">
        <v>58</v>
      </c>
      <c r="J186" t="s">
        <v>64</v>
      </c>
      <c r="K186" t="s">
        <v>65</v>
      </c>
      <c r="L186" t="s">
        <v>541</v>
      </c>
      <c r="M186" s="1">
        <v>30599.279999999999</v>
      </c>
      <c r="N186">
        <v>7</v>
      </c>
      <c r="O186" s="2">
        <v>0.2</v>
      </c>
      <c r="P186" s="1">
        <v>250.87</v>
      </c>
      <c r="Q186" t="s">
        <v>61</v>
      </c>
      <c r="R186" t="s">
        <v>53</v>
      </c>
    </row>
    <row r="187" spans="1:18" x14ac:dyDescent="0.3">
      <c r="A187">
        <v>1186</v>
      </c>
      <c r="B187" s="3">
        <v>45676</v>
      </c>
      <c r="C187" s="3">
        <v>45681</v>
      </c>
      <c r="D187" t="s">
        <v>467</v>
      </c>
      <c r="E187" t="s">
        <v>542</v>
      </c>
      <c r="F187" t="s">
        <v>20</v>
      </c>
      <c r="G187" t="s">
        <v>21</v>
      </c>
      <c r="H187" t="s">
        <v>22</v>
      </c>
      <c r="I187" t="s">
        <v>23</v>
      </c>
      <c r="J187" t="s">
        <v>64</v>
      </c>
      <c r="K187" t="s">
        <v>104</v>
      </c>
      <c r="L187" t="s">
        <v>543</v>
      </c>
      <c r="M187" s="1">
        <v>4771.99</v>
      </c>
      <c r="N187">
        <v>1</v>
      </c>
      <c r="O187" s="2">
        <v>0.05</v>
      </c>
      <c r="P187" s="1">
        <v>949.92</v>
      </c>
      <c r="Q187" t="s">
        <v>74</v>
      </c>
      <c r="R187" t="s">
        <v>28</v>
      </c>
    </row>
    <row r="188" spans="1:18" x14ac:dyDescent="0.3">
      <c r="A188">
        <v>1187</v>
      </c>
      <c r="B188" s="3">
        <v>45826</v>
      </c>
      <c r="C188" s="3">
        <v>45832</v>
      </c>
      <c r="D188" t="s">
        <v>393</v>
      </c>
      <c r="E188" t="s">
        <v>359</v>
      </c>
      <c r="F188" t="s">
        <v>31</v>
      </c>
      <c r="G188" t="s">
        <v>95</v>
      </c>
      <c r="H188" t="s">
        <v>22</v>
      </c>
      <c r="I188" t="s">
        <v>23</v>
      </c>
      <c r="J188" t="s">
        <v>24</v>
      </c>
      <c r="K188" t="s">
        <v>25</v>
      </c>
      <c r="L188" t="s">
        <v>544</v>
      </c>
      <c r="M188" s="1">
        <v>71813.289999999994</v>
      </c>
      <c r="N188">
        <v>6</v>
      </c>
      <c r="O188" s="2">
        <v>0</v>
      </c>
      <c r="P188" s="1">
        <v>11696.42</v>
      </c>
      <c r="Q188" t="s">
        <v>27</v>
      </c>
      <c r="R188" t="s">
        <v>39</v>
      </c>
    </row>
    <row r="189" spans="1:18" x14ac:dyDescent="0.3">
      <c r="A189">
        <v>1188</v>
      </c>
      <c r="B189" s="3">
        <v>45782</v>
      </c>
      <c r="C189" s="3">
        <v>45783</v>
      </c>
      <c r="D189" t="s">
        <v>545</v>
      </c>
      <c r="E189" t="s">
        <v>473</v>
      </c>
      <c r="F189" t="s">
        <v>31</v>
      </c>
      <c r="G189" t="s">
        <v>56</v>
      </c>
      <c r="H189" t="s">
        <v>57</v>
      </c>
      <c r="I189" t="s">
        <v>58</v>
      </c>
      <c r="J189" t="s">
        <v>24</v>
      </c>
      <c r="K189" t="s">
        <v>72</v>
      </c>
      <c r="L189" t="s">
        <v>546</v>
      </c>
      <c r="M189" s="1">
        <v>35326.120000000003</v>
      </c>
      <c r="N189">
        <v>4</v>
      </c>
      <c r="O189" s="2">
        <v>0</v>
      </c>
      <c r="P189" s="1">
        <v>4207.1400000000003</v>
      </c>
      <c r="Q189" t="s">
        <v>67</v>
      </c>
      <c r="R189" t="s">
        <v>39</v>
      </c>
    </row>
    <row r="190" spans="1:18" x14ac:dyDescent="0.3">
      <c r="A190">
        <v>1189</v>
      </c>
      <c r="B190" s="3">
        <v>45625</v>
      </c>
      <c r="C190" s="3">
        <v>45626</v>
      </c>
      <c r="D190" t="s">
        <v>237</v>
      </c>
      <c r="E190" t="s">
        <v>260</v>
      </c>
      <c r="F190" t="s">
        <v>31</v>
      </c>
      <c r="G190" t="s">
        <v>107</v>
      </c>
      <c r="H190" t="s">
        <v>108</v>
      </c>
      <c r="I190" t="s">
        <v>34</v>
      </c>
      <c r="J190" t="s">
        <v>64</v>
      </c>
      <c r="K190" t="s">
        <v>65</v>
      </c>
      <c r="L190" t="s">
        <v>547</v>
      </c>
      <c r="M190" s="1">
        <v>83151.27</v>
      </c>
      <c r="N190">
        <v>9</v>
      </c>
      <c r="O190" s="2">
        <v>0.15</v>
      </c>
      <c r="P190" s="1">
        <v>6970.5</v>
      </c>
      <c r="Q190" t="s">
        <v>38</v>
      </c>
      <c r="R190" t="s">
        <v>28</v>
      </c>
    </row>
    <row r="191" spans="1:18" x14ac:dyDescent="0.3">
      <c r="A191">
        <v>1190</v>
      </c>
      <c r="B191" s="3">
        <v>45632</v>
      </c>
      <c r="C191" s="3">
        <v>45637</v>
      </c>
      <c r="D191" t="s">
        <v>275</v>
      </c>
      <c r="E191" t="s">
        <v>489</v>
      </c>
      <c r="F191" t="s">
        <v>20</v>
      </c>
      <c r="G191" t="s">
        <v>102</v>
      </c>
      <c r="H191" t="s">
        <v>103</v>
      </c>
      <c r="I191" t="s">
        <v>58</v>
      </c>
      <c r="J191" t="s">
        <v>24</v>
      </c>
      <c r="K191" t="s">
        <v>50</v>
      </c>
      <c r="L191" t="s">
        <v>548</v>
      </c>
      <c r="M191" s="1">
        <v>79869.539999999994</v>
      </c>
      <c r="N191">
        <v>2</v>
      </c>
      <c r="O191" s="2">
        <v>0.1</v>
      </c>
      <c r="P191" s="1">
        <v>10572.01</v>
      </c>
      <c r="Q191" t="s">
        <v>115</v>
      </c>
      <c r="R191" t="s">
        <v>39</v>
      </c>
    </row>
    <row r="192" spans="1:18" x14ac:dyDescent="0.3">
      <c r="A192">
        <v>1191</v>
      </c>
      <c r="B192" s="3">
        <v>45723</v>
      </c>
      <c r="C192" s="3">
        <v>45728</v>
      </c>
      <c r="D192" t="s">
        <v>549</v>
      </c>
      <c r="E192" t="s">
        <v>550</v>
      </c>
      <c r="F192" t="s">
        <v>31</v>
      </c>
      <c r="G192" t="s">
        <v>90</v>
      </c>
      <c r="H192" t="s">
        <v>91</v>
      </c>
      <c r="I192" t="s">
        <v>23</v>
      </c>
      <c r="J192" t="s">
        <v>24</v>
      </c>
      <c r="K192" t="s">
        <v>224</v>
      </c>
      <c r="L192" t="s">
        <v>551</v>
      </c>
      <c r="M192" s="1">
        <v>65404.32</v>
      </c>
      <c r="N192">
        <v>8</v>
      </c>
      <c r="O192" s="2">
        <v>0.25</v>
      </c>
      <c r="P192" s="1">
        <v>6870.65</v>
      </c>
      <c r="Q192" t="s">
        <v>38</v>
      </c>
      <c r="R192" t="s">
        <v>28</v>
      </c>
    </row>
    <row r="193" spans="1:18" x14ac:dyDescent="0.3">
      <c r="A193">
        <v>1192</v>
      </c>
      <c r="B193" s="3">
        <v>45397</v>
      </c>
      <c r="C193" s="3">
        <v>45400</v>
      </c>
      <c r="D193" t="s">
        <v>552</v>
      </c>
      <c r="E193" t="s">
        <v>553</v>
      </c>
      <c r="F193" t="s">
        <v>31</v>
      </c>
      <c r="G193" t="s">
        <v>107</v>
      </c>
      <c r="H193" t="s">
        <v>108</v>
      </c>
      <c r="I193" t="s">
        <v>34</v>
      </c>
      <c r="J193" t="s">
        <v>35</v>
      </c>
      <c r="K193" t="s">
        <v>59</v>
      </c>
      <c r="L193" t="s">
        <v>554</v>
      </c>
      <c r="M193" s="1">
        <v>31173.7</v>
      </c>
      <c r="N193">
        <v>9</v>
      </c>
      <c r="O193" s="2">
        <v>0.25</v>
      </c>
      <c r="P193" s="1">
        <v>1955.11</v>
      </c>
      <c r="Q193" t="s">
        <v>74</v>
      </c>
      <c r="R193" t="s">
        <v>120</v>
      </c>
    </row>
    <row r="194" spans="1:18" x14ac:dyDescent="0.3">
      <c r="A194">
        <v>1193</v>
      </c>
      <c r="B194" s="3">
        <v>45345</v>
      </c>
      <c r="C194" s="3">
        <v>45349</v>
      </c>
      <c r="D194" t="s">
        <v>358</v>
      </c>
      <c r="E194" t="s">
        <v>128</v>
      </c>
      <c r="F194" t="s">
        <v>20</v>
      </c>
      <c r="G194" t="s">
        <v>47</v>
      </c>
      <c r="H194" t="s">
        <v>48</v>
      </c>
      <c r="I194" t="s">
        <v>49</v>
      </c>
      <c r="J194" t="s">
        <v>35</v>
      </c>
      <c r="K194" t="s">
        <v>59</v>
      </c>
      <c r="L194" t="s">
        <v>555</v>
      </c>
      <c r="M194" s="1">
        <v>89588.86</v>
      </c>
      <c r="N194">
        <v>1</v>
      </c>
      <c r="O194" s="2">
        <v>0.15</v>
      </c>
      <c r="P194" s="1">
        <v>5143.8599999999997</v>
      </c>
      <c r="Q194" t="s">
        <v>38</v>
      </c>
      <c r="R194" t="s">
        <v>120</v>
      </c>
    </row>
    <row r="195" spans="1:18" x14ac:dyDescent="0.3">
      <c r="A195">
        <v>1194</v>
      </c>
      <c r="B195" s="3">
        <v>45625</v>
      </c>
      <c r="C195" s="3">
        <v>45627</v>
      </c>
      <c r="D195" t="s">
        <v>556</v>
      </c>
      <c r="E195" t="s">
        <v>138</v>
      </c>
      <c r="F195" t="s">
        <v>46</v>
      </c>
      <c r="G195" t="s">
        <v>47</v>
      </c>
      <c r="H195" t="s">
        <v>48</v>
      </c>
      <c r="I195" t="s">
        <v>49</v>
      </c>
      <c r="J195" t="s">
        <v>35</v>
      </c>
      <c r="K195" t="s">
        <v>59</v>
      </c>
      <c r="L195" t="s">
        <v>557</v>
      </c>
      <c r="M195" s="1">
        <v>72406.880000000005</v>
      </c>
      <c r="N195">
        <v>9</v>
      </c>
      <c r="O195" s="2">
        <v>0.3</v>
      </c>
      <c r="P195" s="1">
        <v>-1085.23</v>
      </c>
      <c r="Q195" t="s">
        <v>74</v>
      </c>
      <c r="R195" t="s">
        <v>120</v>
      </c>
    </row>
    <row r="196" spans="1:18" x14ac:dyDescent="0.3">
      <c r="A196">
        <v>1195</v>
      </c>
      <c r="B196" s="3">
        <v>45488</v>
      </c>
      <c r="C196" s="3">
        <v>45494</v>
      </c>
      <c r="D196" t="s">
        <v>558</v>
      </c>
      <c r="E196" t="s">
        <v>465</v>
      </c>
      <c r="F196" t="s">
        <v>31</v>
      </c>
      <c r="G196" t="s">
        <v>112</v>
      </c>
      <c r="H196" t="s">
        <v>113</v>
      </c>
      <c r="I196" t="s">
        <v>49</v>
      </c>
      <c r="J196" t="s">
        <v>35</v>
      </c>
      <c r="K196" t="s">
        <v>36</v>
      </c>
      <c r="L196" t="s">
        <v>559</v>
      </c>
      <c r="M196" s="1">
        <v>25140.13</v>
      </c>
      <c r="N196">
        <v>5</v>
      </c>
      <c r="O196" s="2">
        <v>0.25</v>
      </c>
      <c r="P196" s="1">
        <v>4483.3999999999996</v>
      </c>
      <c r="Q196" t="s">
        <v>74</v>
      </c>
      <c r="R196" t="s">
        <v>28</v>
      </c>
    </row>
    <row r="197" spans="1:18" x14ac:dyDescent="0.3">
      <c r="A197">
        <v>1196</v>
      </c>
      <c r="B197" s="3">
        <v>45730</v>
      </c>
      <c r="C197" s="3">
        <v>45731</v>
      </c>
      <c r="D197" t="s">
        <v>467</v>
      </c>
      <c r="E197" t="s">
        <v>84</v>
      </c>
      <c r="F197" t="s">
        <v>20</v>
      </c>
      <c r="G197" t="s">
        <v>107</v>
      </c>
      <c r="H197" t="s">
        <v>108</v>
      </c>
      <c r="I197" t="s">
        <v>34</v>
      </c>
      <c r="J197" t="s">
        <v>35</v>
      </c>
      <c r="K197" t="s">
        <v>42</v>
      </c>
      <c r="L197" t="s">
        <v>560</v>
      </c>
      <c r="M197" s="1">
        <v>53254.09</v>
      </c>
      <c r="N197">
        <v>8</v>
      </c>
      <c r="O197" s="2">
        <v>0</v>
      </c>
      <c r="P197" s="1">
        <v>8036.57</v>
      </c>
      <c r="Q197" t="s">
        <v>27</v>
      </c>
      <c r="R197" t="s">
        <v>39</v>
      </c>
    </row>
    <row r="198" spans="1:18" x14ac:dyDescent="0.3">
      <c r="A198">
        <v>1197</v>
      </c>
      <c r="B198" s="3">
        <v>45654</v>
      </c>
      <c r="C198" s="3">
        <v>45656</v>
      </c>
      <c r="D198" t="s">
        <v>561</v>
      </c>
      <c r="E198" t="s">
        <v>165</v>
      </c>
      <c r="F198" t="s">
        <v>20</v>
      </c>
      <c r="G198" t="s">
        <v>32</v>
      </c>
      <c r="H198" t="s">
        <v>33</v>
      </c>
      <c r="I198" t="s">
        <v>34</v>
      </c>
      <c r="J198" t="s">
        <v>24</v>
      </c>
      <c r="K198" t="s">
        <v>72</v>
      </c>
      <c r="L198" t="s">
        <v>562</v>
      </c>
      <c r="M198" s="1">
        <v>3919.08</v>
      </c>
      <c r="N198">
        <v>4</v>
      </c>
      <c r="O198" s="2">
        <v>0</v>
      </c>
      <c r="P198" s="1">
        <v>1037.29</v>
      </c>
      <c r="Q198" t="s">
        <v>61</v>
      </c>
      <c r="R198" t="s">
        <v>120</v>
      </c>
    </row>
    <row r="199" spans="1:18" x14ac:dyDescent="0.3">
      <c r="A199">
        <v>1198</v>
      </c>
      <c r="B199" s="3">
        <v>45970</v>
      </c>
      <c r="C199" s="3">
        <v>45975</v>
      </c>
      <c r="D199" t="s">
        <v>563</v>
      </c>
      <c r="E199" t="s">
        <v>252</v>
      </c>
      <c r="F199" t="s">
        <v>31</v>
      </c>
      <c r="G199" t="s">
        <v>47</v>
      </c>
      <c r="H199" t="s">
        <v>48</v>
      </c>
      <c r="I199" t="s">
        <v>49</v>
      </c>
      <c r="J199" t="s">
        <v>35</v>
      </c>
      <c r="K199" t="s">
        <v>129</v>
      </c>
      <c r="L199" t="s">
        <v>564</v>
      </c>
      <c r="M199" s="1">
        <v>79397.56</v>
      </c>
      <c r="N199">
        <v>10</v>
      </c>
      <c r="O199" s="2">
        <v>0.2</v>
      </c>
      <c r="P199" s="1">
        <v>16340.18</v>
      </c>
      <c r="Q199" t="s">
        <v>27</v>
      </c>
      <c r="R199" t="s">
        <v>28</v>
      </c>
    </row>
    <row r="200" spans="1:18" x14ac:dyDescent="0.3">
      <c r="A200">
        <v>1199</v>
      </c>
      <c r="B200" s="3">
        <v>45543</v>
      </c>
      <c r="C200" s="3">
        <v>45547</v>
      </c>
      <c r="D200" t="s">
        <v>565</v>
      </c>
      <c r="E200" t="s">
        <v>566</v>
      </c>
      <c r="F200" t="s">
        <v>31</v>
      </c>
      <c r="G200" t="s">
        <v>118</v>
      </c>
      <c r="H200" t="s">
        <v>118</v>
      </c>
      <c r="I200" t="s">
        <v>34</v>
      </c>
      <c r="J200" t="s">
        <v>35</v>
      </c>
      <c r="K200" t="s">
        <v>36</v>
      </c>
      <c r="L200" t="s">
        <v>567</v>
      </c>
      <c r="M200" s="1">
        <v>43742.16</v>
      </c>
      <c r="N200">
        <v>2</v>
      </c>
      <c r="O200" s="2">
        <v>0.15</v>
      </c>
      <c r="P200" s="1">
        <v>2630.04</v>
      </c>
      <c r="Q200" t="s">
        <v>52</v>
      </c>
      <c r="R200" t="s">
        <v>28</v>
      </c>
    </row>
    <row r="201" spans="1:18" x14ac:dyDescent="0.3">
      <c r="A201">
        <v>1200</v>
      </c>
      <c r="B201" s="3">
        <v>45921</v>
      </c>
      <c r="C201" s="3">
        <v>45927</v>
      </c>
      <c r="D201" t="s">
        <v>568</v>
      </c>
      <c r="E201" t="s">
        <v>149</v>
      </c>
      <c r="F201" t="s">
        <v>31</v>
      </c>
      <c r="G201" t="s">
        <v>85</v>
      </c>
      <c r="H201" t="s">
        <v>86</v>
      </c>
      <c r="I201" t="s">
        <v>49</v>
      </c>
      <c r="J201" t="s">
        <v>64</v>
      </c>
      <c r="K201" t="s">
        <v>188</v>
      </c>
      <c r="L201" t="s">
        <v>569</v>
      </c>
      <c r="M201" s="1">
        <v>58545.65</v>
      </c>
      <c r="N201">
        <v>8</v>
      </c>
      <c r="O201" s="2">
        <v>0.15</v>
      </c>
      <c r="P201" s="1">
        <v>4740.71</v>
      </c>
      <c r="Q201" t="s">
        <v>115</v>
      </c>
      <c r="R201" t="s">
        <v>39</v>
      </c>
    </row>
    <row r="202" spans="1:18" x14ac:dyDescent="0.3">
      <c r="A202">
        <v>1201</v>
      </c>
      <c r="B202" s="3">
        <v>45700</v>
      </c>
      <c r="C202" s="3">
        <v>45701</v>
      </c>
      <c r="D202" t="s">
        <v>570</v>
      </c>
      <c r="E202" t="s">
        <v>519</v>
      </c>
      <c r="F202" t="s">
        <v>20</v>
      </c>
      <c r="G202" t="s">
        <v>102</v>
      </c>
      <c r="H202" t="s">
        <v>103</v>
      </c>
      <c r="I202" t="s">
        <v>58</v>
      </c>
      <c r="J202" t="s">
        <v>24</v>
      </c>
      <c r="K202" t="s">
        <v>72</v>
      </c>
      <c r="L202" t="s">
        <v>571</v>
      </c>
      <c r="M202" s="1">
        <v>76613.69</v>
      </c>
      <c r="N202">
        <v>2</v>
      </c>
      <c r="O202" s="2">
        <v>0.1</v>
      </c>
      <c r="P202" s="1">
        <v>17466.21</v>
      </c>
      <c r="Q202" t="s">
        <v>61</v>
      </c>
      <c r="R202" t="s">
        <v>39</v>
      </c>
    </row>
    <row r="203" spans="1:18" x14ac:dyDescent="0.3">
      <c r="A203">
        <v>1202</v>
      </c>
      <c r="B203" s="3">
        <v>45339</v>
      </c>
      <c r="C203" s="3">
        <v>45341</v>
      </c>
      <c r="D203" t="s">
        <v>572</v>
      </c>
      <c r="E203" t="s">
        <v>573</v>
      </c>
      <c r="F203" t="s">
        <v>31</v>
      </c>
      <c r="G203" t="s">
        <v>107</v>
      </c>
      <c r="H203" t="s">
        <v>108</v>
      </c>
      <c r="I203" t="s">
        <v>34</v>
      </c>
      <c r="J203" t="s">
        <v>35</v>
      </c>
      <c r="K203" t="s">
        <v>36</v>
      </c>
      <c r="L203" t="s">
        <v>574</v>
      </c>
      <c r="M203" s="1">
        <v>72305.7</v>
      </c>
      <c r="N203">
        <v>10</v>
      </c>
      <c r="O203" s="2">
        <v>0.3</v>
      </c>
      <c r="P203" s="1">
        <v>12652.1</v>
      </c>
      <c r="Q203" t="s">
        <v>61</v>
      </c>
      <c r="R203" t="s">
        <v>120</v>
      </c>
    </row>
    <row r="204" spans="1:18" x14ac:dyDescent="0.3">
      <c r="A204">
        <v>1203</v>
      </c>
      <c r="B204" s="3">
        <v>45937</v>
      </c>
      <c r="C204" s="3">
        <v>45942</v>
      </c>
      <c r="D204" t="s">
        <v>575</v>
      </c>
      <c r="E204" t="s">
        <v>205</v>
      </c>
      <c r="F204" t="s">
        <v>31</v>
      </c>
      <c r="G204" t="s">
        <v>112</v>
      </c>
      <c r="H204" t="s">
        <v>113</v>
      </c>
      <c r="I204" t="s">
        <v>49</v>
      </c>
      <c r="J204" t="s">
        <v>24</v>
      </c>
      <c r="K204" t="s">
        <v>72</v>
      </c>
      <c r="L204" t="s">
        <v>576</v>
      </c>
      <c r="M204" s="1">
        <v>40113.199999999997</v>
      </c>
      <c r="N204">
        <v>2</v>
      </c>
      <c r="O204" s="2">
        <v>0</v>
      </c>
      <c r="P204" s="1">
        <v>5068.1400000000003</v>
      </c>
      <c r="Q204" t="s">
        <v>52</v>
      </c>
      <c r="R204" t="s">
        <v>120</v>
      </c>
    </row>
    <row r="205" spans="1:18" x14ac:dyDescent="0.3">
      <c r="A205">
        <v>1204</v>
      </c>
      <c r="B205" s="3">
        <v>45301</v>
      </c>
      <c r="C205" s="3">
        <v>45302</v>
      </c>
      <c r="D205" t="s">
        <v>558</v>
      </c>
      <c r="E205" t="s">
        <v>156</v>
      </c>
      <c r="F205" t="s">
        <v>31</v>
      </c>
      <c r="G205" t="s">
        <v>112</v>
      </c>
      <c r="H205" t="s">
        <v>113</v>
      </c>
      <c r="I205" t="s">
        <v>49</v>
      </c>
      <c r="J205" t="s">
        <v>35</v>
      </c>
      <c r="K205" t="s">
        <v>36</v>
      </c>
      <c r="L205" t="s">
        <v>577</v>
      </c>
      <c r="M205" s="1">
        <v>75103.64</v>
      </c>
      <c r="N205">
        <v>9</v>
      </c>
      <c r="O205" s="2">
        <v>0.05</v>
      </c>
      <c r="P205" s="1">
        <v>8605.81</v>
      </c>
      <c r="Q205" t="s">
        <v>61</v>
      </c>
      <c r="R205" t="s">
        <v>120</v>
      </c>
    </row>
    <row r="206" spans="1:18" x14ac:dyDescent="0.3">
      <c r="A206">
        <v>1205</v>
      </c>
      <c r="B206" s="3">
        <v>45821</v>
      </c>
      <c r="C206" s="3">
        <v>45827</v>
      </c>
      <c r="D206" t="s">
        <v>578</v>
      </c>
      <c r="E206" t="s">
        <v>135</v>
      </c>
      <c r="F206" t="s">
        <v>46</v>
      </c>
      <c r="G206" t="s">
        <v>70</v>
      </c>
      <c r="H206" t="s">
        <v>71</v>
      </c>
      <c r="I206" t="s">
        <v>58</v>
      </c>
      <c r="J206" t="s">
        <v>35</v>
      </c>
      <c r="K206" t="s">
        <v>59</v>
      </c>
      <c r="L206" t="s">
        <v>579</v>
      </c>
      <c r="M206" s="1">
        <v>9691.1299999999992</v>
      </c>
      <c r="N206">
        <v>3</v>
      </c>
      <c r="O206" s="2">
        <v>0.3</v>
      </c>
      <c r="P206" s="1">
        <v>1540.93</v>
      </c>
      <c r="Q206" t="s">
        <v>74</v>
      </c>
      <c r="R206" t="s">
        <v>120</v>
      </c>
    </row>
    <row r="207" spans="1:18" x14ac:dyDescent="0.3">
      <c r="A207">
        <v>1206</v>
      </c>
      <c r="B207" s="3">
        <v>45847</v>
      </c>
      <c r="C207" s="3">
        <v>45851</v>
      </c>
      <c r="D207" t="s">
        <v>580</v>
      </c>
      <c r="E207" t="s">
        <v>581</v>
      </c>
      <c r="F207" t="s">
        <v>46</v>
      </c>
      <c r="G207" t="s">
        <v>90</v>
      </c>
      <c r="H207" t="s">
        <v>91</v>
      </c>
      <c r="I207" t="s">
        <v>23</v>
      </c>
      <c r="J207" t="s">
        <v>35</v>
      </c>
      <c r="K207" t="s">
        <v>42</v>
      </c>
      <c r="L207" t="s">
        <v>582</v>
      </c>
      <c r="M207" s="1">
        <v>52868.7</v>
      </c>
      <c r="N207">
        <v>10</v>
      </c>
      <c r="O207" s="2">
        <v>0.2</v>
      </c>
      <c r="P207" s="1">
        <v>6746.13</v>
      </c>
      <c r="Q207" t="s">
        <v>67</v>
      </c>
      <c r="R207" t="s">
        <v>39</v>
      </c>
    </row>
    <row r="208" spans="1:18" x14ac:dyDescent="0.3">
      <c r="A208">
        <v>1207</v>
      </c>
      <c r="B208" s="3">
        <v>45807</v>
      </c>
      <c r="C208" s="3">
        <v>45813</v>
      </c>
      <c r="D208" t="s">
        <v>134</v>
      </c>
      <c r="E208" t="s">
        <v>205</v>
      </c>
      <c r="F208" t="s">
        <v>46</v>
      </c>
      <c r="G208" t="s">
        <v>21</v>
      </c>
      <c r="H208" t="s">
        <v>22</v>
      </c>
      <c r="I208" t="s">
        <v>23</v>
      </c>
      <c r="J208" t="s">
        <v>24</v>
      </c>
      <c r="K208" t="s">
        <v>224</v>
      </c>
      <c r="L208" t="s">
        <v>583</v>
      </c>
      <c r="M208" s="1">
        <v>17621.900000000001</v>
      </c>
      <c r="N208">
        <v>8</v>
      </c>
      <c r="O208" s="2">
        <v>0.15</v>
      </c>
      <c r="P208" s="1">
        <v>3702.94</v>
      </c>
      <c r="Q208" t="s">
        <v>27</v>
      </c>
      <c r="R208" t="s">
        <v>120</v>
      </c>
    </row>
    <row r="209" spans="1:18" x14ac:dyDescent="0.3">
      <c r="A209">
        <v>1208</v>
      </c>
      <c r="B209" s="3">
        <v>45452</v>
      </c>
      <c r="C209" s="3">
        <v>45453</v>
      </c>
      <c r="D209" t="s">
        <v>180</v>
      </c>
      <c r="E209" t="s">
        <v>584</v>
      </c>
      <c r="F209" t="s">
        <v>31</v>
      </c>
      <c r="G209" t="s">
        <v>56</v>
      </c>
      <c r="H209" t="s">
        <v>57</v>
      </c>
      <c r="I209" t="s">
        <v>58</v>
      </c>
      <c r="J209" t="s">
        <v>64</v>
      </c>
      <c r="K209" t="s">
        <v>157</v>
      </c>
      <c r="L209" t="s">
        <v>585</v>
      </c>
      <c r="M209" s="1">
        <v>8503.17</v>
      </c>
      <c r="N209">
        <v>2</v>
      </c>
      <c r="O209" s="2">
        <v>0.3</v>
      </c>
      <c r="P209" s="1">
        <v>701.51</v>
      </c>
      <c r="Q209" t="s">
        <v>82</v>
      </c>
      <c r="R209" t="s">
        <v>120</v>
      </c>
    </row>
    <row r="210" spans="1:18" x14ac:dyDescent="0.3">
      <c r="A210">
        <v>1209</v>
      </c>
      <c r="B210" s="3">
        <v>45877</v>
      </c>
      <c r="C210" s="3">
        <v>45878</v>
      </c>
      <c r="D210" t="s">
        <v>586</v>
      </c>
      <c r="E210" t="s">
        <v>299</v>
      </c>
      <c r="F210" t="s">
        <v>31</v>
      </c>
      <c r="G210" t="s">
        <v>70</v>
      </c>
      <c r="H210" t="s">
        <v>71</v>
      </c>
      <c r="I210" t="s">
        <v>58</v>
      </c>
      <c r="J210" t="s">
        <v>24</v>
      </c>
      <c r="K210" t="s">
        <v>72</v>
      </c>
      <c r="L210" t="s">
        <v>587</v>
      </c>
      <c r="M210" s="1">
        <v>44693.67</v>
      </c>
      <c r="N210">
        <v>5</v>
      </c>
      <c r="O210" s="2">
        <v>0.15</v>
      </c>
      <c r="P210" s="1">
        <v>7889.77</v>
      </c>
      <c r="Q210" t="s">
        <v>61</v>
      </c>
      <c r="R210" t="s">
        <v>39</v>
      </c>
    </row>
    <row r="211" spans="1:18" x14ac:dyDescent="0.3">
      <c r="A211">
        <v>1210</v>
      </c>
      <c r="B211" s="3">
        <v>45433</v>
      </c>
      <c r="C211" s="3">
        <v>45439</v>
      </c>
      <c r="D211" t="s">
        <v>558</v>
      </c>
      <c r="E211" t="s">
        <v>146</v>
      </c>
      <c r="F211" t="s">
        <v>46</v>
      </c>
      <c r="G211" t="s">
        <v>102</v>
      </c>
      <c r="H211" t="s">
        <v>103</v>
      </c>
      <c r="I211" t="s">
        <v>58</v>
      </c>
      <c r="J211" t="s">
        <v>64</v>
      </c>
      <c r="K211" t="s">
        <v>65</v>
      </c>
      <c r="L211" t="s">
        <v>588</v>
      </c>
      <c r="M211" s="1">
        <v>80325.23</v>
      </c>
      <c r="N211">
        <v>4</v>
      </c>
      <c r="O211" s="2">
        <v>0</v>
      </c>
      <c r="P211" s="1">
        <v>22471.55</v>
      </c>
      <c r="Q211" t="s">
        <v>52</v>
      </c>
      <c r="R211" t="s">
        <v>28</v>
      </c>
    </row>
    <row r="212" spans="1:18" x14ac:dyDescent="0.3">
      <c r="A212">
        <v>1211</v>
      </c>
      <c r="B212" s="3">
        <v>45543</v>
      </c>
      <c r="C212" s="3">
        <v>45547</v>
      </c>
      <c r="D212" t="s">
        <v>446</v>
      </c>
      <c r="E212" t="s">
        <v>589</v>
      </c>
      <c r="F212" t="s">
        <v>31</v>
      </c>
      <c r="G212" t="s">
        <v>32</v>
      </c>
      <c r="H212" t="s">
        <v>33</v>
      </c>
      <c r="I212" t="s">
        <v>34</v>
      </c>
      <c r="J212" t="s">
        <v>35</v>
      </c>
      <c r="K212" t="s">
        <v>129</v>
      </c>
      <c r="L212" t="s">
        <v>590</v>
      </c>
      <c r="M212" s="1">
        <v>3001.96</v>
      </c>
      <c r="N212">
        <v>3</v>
      </c>
      <c r="O212" s="2">
        <v>0</v>
      </c>
      <c r="P212" s="1">
        <v>770.97</v>
      </c>
      <c r="Q212" t="s">
        <v>67</v>
      </c>
      <c r="R212" t="s">
        <v>28</v>
      </c>
    </row>
    <row r="213" spans="1:18" x14ac:dyDescent="0.3">
      <c r="A213">
        <v>1212</v>
      </c>
      <c r="B213" s="3">
        <v>45838</v>
      </c>
      <c r="C213" s="3">
        <v>45839</v>
      </c>
      <c r="D213" t="s">
        <v>591</v>
      </c>
      <c r="E213" t="s">
        <v>592</v>
      </c>
      <c r="F213" t="s">
        <v>20</v>
      </c>
      <c r="G213" t="s">
        <v>107</v>
      </c>
      <c r="H213" t="s">
        <v>108</v>
      </c>
      <c r="I213" t="s">
        <v>34</v>
      </c>
      <c r="J213" t="s">
        <v>64</v>
      </c>
      <c r="K213" t="s">
        <v>188</v>
      </c>
      <c r="L213" t="s">
        <v>593</v>
      </c>
      <c r="M213" s="1">
        <v>15032.87</v>
      </c>
      <c r="N213">
        <v>8</v>
      </c>
      <c r="O213" s="2">
        <v>0</v>
      </c>
      <c r="P213" s="1">
        <v>4225.55</v>
      </c>
      <c r="Q213" t="s">
        <v>38</v>
      </c>
      <c r="R213" t="s">
        <v>120</v>
      </c>
    </row>
    <row r="214" spans="1:18" x14ac:dyDescent="0.3">
      <c r="A214">
        <v>1213</v>
      </c>
      <c r="B214" s="3">
        <v>45879</v>
      </c>
      <c r="C214" s="3">
        <v>45884</v>
      </c>
      <c r="D214" t="s">
        <v>437</v>
      </c>
      <c r="E214" t="s">
        <v>265</v>
      </c>
      <c r="F214" t="s">
        <v>46</v>
      </c>
      <c r="G214" t="s">
        <v>47</v>
      </c>
      <c r="H214" t="s">
        <v>48</v>
      </c>
      <c r="I214" t="s">
        <v>49</v>
      </c>
      <c r="J214" t="s">
        <v>24</v>
      </c>
      <c r="K214" t="s">
        <v>72</v>
      </c>
      <c r="L214" t="s">
        <v>594</v>
      </c>
      <c r="M214" s="1">
        <v>4350.05</v>
      </c>
      <c r="N214">
        <v>4</v>
      </c>
      <c r="O214" s="2">
        <v>0.25</v>
      </c>
      <c r="P214" s="1">
        <v>716.88</v>
      </c>
      <c r="Q214" t="s">
        <v>38</v>
      </c>
      <c r="R214" t="s">
        <v>28</v>
      </c>
    </row>
    <row r="215" spans="1:18" x14ac:dyDescent="0.3">
      <c r="A215">
        <v>1214</v>
      </c>
      <c r="B215" s="3">
        <v>45363</v>
      </c>
      <c r="C215" s="3">
        <v>45364</v>
      </c>
      <c r="D215" t="s">
        <v>142</v>
      </c>
      <c r="E215" t="s">
        <v>595</v>
      </c>
      <c r="F215" t="s">
        <v>31</v>
      </c>
      <c r="G215" t="s">
        <v>85</v>
      </c>
      <c r="H215" t="s">
        <v>86</v>
      </c>
      <c r="I215" t="s">
        <v>49</v>
      </c>
      <c r="J215" t="s">
        <v>24</v>
      </c>
      <c r="K215" t="s">
        <v>224</v>
      </c>
      <c r="L215" t="s">
        <v>596</v>
      </c>
      <c r="M215" s="1">
        <v>43688.800000000003</v>
      </c>
      <c r="N215">
        <v>8</v>
      </c>
      <c r="O215" s="2">
        <v>0.15</v>
      </c>
      <c r="P215" s="1">
        <v>6837.81</v>
      </c>
      <c r="Q215" t="s">
        <v>115</v>
      </c>
      <c r="R215" t="s">
        <v>53</v>
      </c>
    </row>
    <row r="216" spans="1:18" x14ac:dyDescent="0.3">
      <c r="A216">
        <v>1215</v>
      </c>
      <c r="B216" s="3">
        <v>45726</v>
      </c>
      <c r="C216" s="3">
        <v>45728</v>
      </c>
      <c r="D216" t="s">
        <v>437</v>
      </c>
      <c r="E216" t="s">
        <v>301</v>
      </c>
      <c r="F216" t="s">
        <v>46</v>
      </c>
      <c r="G216" t="s">
        <v>85</v>
      </c>
      <c r="H216" t="s">
        <v>86</v>
      </c>
      <c r="I216" t="s">
        <v>49</v>
      </c>
      <c r="J216" t="s">
        <v>24</v>
      </c>
      <c r="K216" t="s">
        <v>50</v>
      </c>
      <c r="L216" t="s">
        <v>597</v>
      </c>
      <c r="M216" s="1">
        <v>71296.899999999994</v>
      </c>
      <c r="N216">
        <v>6</v>
      </c>
      <c r="O216" s="2">
        <v>0.25</v>
      </c>
      <c r="P216" s="1">
        <v>-563.05999999999995</v>
      </c>
      <c r="Q216" t="s">
        <v>38</v>
      </c>
      <c r="R216" t="s">
        <v>53</v>
      </c>
    </row>
    <row r="217" spans="1:18" x14ac:dyDescent="0.3">
      <c r="A217">
        <v>1216</v>
      </c>
      <c r="B217" s="3">
        <v>45858</v>
      </c>
      <c r="C217" s="3">
        <v>45864</v>
      </c>
      <c r="D217" t="s">
        <v>507</v>
      </c>
      <c r="E217" t="s">
        <v>143</v>
      </c>
      <c r="F217" t="s">
        <v>31</v>
      </c>
      <c r="G217" t="s">
        <v>112</v>
      </c>
      <c r="H217" t="s">
        <v>113</v>
      </c>
      <c r="I217" t="s">
        <v>49</v>
      </c>
      <c r="J217" t="s">
        <v>64</v>
      </c>
      <c r="K217" t="s">
        <v>80</v>
      </c>
      <c r="L217" t="s">
        <v>598</v>
      </c>
      <c r="M217" s="1">
        <v>73055.62</v>
      </c>
      <c r="N217">
        <v>5</v>
      </c>
      <c r="O217" s="2">
        <v>0.3</v>
      </c>
      <c r="P217" s="1">
        <v>3568.53</v>
      </c>
      <c r="Q217" t="s">
        <v>52</v>
      </c>
      <c r="R217" t="s">
        <v>39</v>
      </c>
    </row>
    <row r="218" spans="1:18" x14ac:dyDescent="0.3">
      <c r="A218">
        <v>1217</v>
      </c>
      <c r="B218" s="3">
        <v>45470</v>
      </c>
      <c r="C218" s="3">
        <v>45476</v>
      </c>
      <c r="D218" t="s">
        <v>599</v>
      </c>
      <c r="E218" t="s">
        <v>600</v>
      </c>
      <c r="F218" t="s">
        <v>46</v>
      </c>
      <c r="G218" t="s">
        <v>118</v>
      </c>
      <c r="H218" t="s">
        <v>118</v>
      </c>
      <c r="I218" t="s">
        <v>34</v>
      </c>
      <c r="J218" t="s">
        <v>24</v>
      </c>
      <c r="K218" t="s">
        <v>50</v>
      </c>
      <c r="L218" t="s">
        <v>601</v>
      </c>
      <c r="M218" s="1">
        <v>41744.97</v>
      </c>
      <c r="N218">
        <v>7</v>
      </c>
      <c r="O218" s="2">
        <v>0.1</v>
      </c>
      <c r="P218" s="1">
        <v>8368.0300000000007</v>
      </c>
      <c r="Q218" t="s">
        <v>27</v>
      </c>
      <c r="R218" t="s">
        <v>39</v>
      </c>
    </row>
    <row r="219" spans="1:18" x14ac:dyDescent="0.3">
      <c r="A219">
        <v>1218</v>
      </c>
      <c r="B219" s="3">
        <v>45382</v>
      </c>
      <c r="C219" s="3">
        <v>45383</v>
      </c>
      <c r="D219" t="s">
        <v>602</v>
      </c>
      <c r="E219" t="s">
        <v>160</v>
      </c>
      <c r="F219" t="s">
        <v>20</v>
      </c>
      <c r="G219" t="s">
        <v>102</v>
      </c>
      <c r="H219" t="s">
        <v>103</v>
      </c>
      <c r="I219" t="s">
        <v>58</v>
      </c>
      <c r="J219" t="s">
        <v>24</v>
      </c>
      <c r="K219" t="s">
        <v>224</v>
      </c>
      <c r="L219" t="s">
        <v>603</v>
      </c>
      <c r="M219" s="1">
        <v>68667.649999999994</v>
      </c>
      <c r="N219">
        <v>10</v>
      </c>
      <c r="O219" s="2">
        <v>0</v>
      </c>
      <c r="P219" s="1">
        <v>18033.12</v>
      </c>
      <c r="Q219" t="s">
        <v>27</v>
      </c>
      <c r="R219" t="s">
        <v>53</v>
      </c>
    </row>
    <row r="220" spans="1:18" x14ac:dyDescent="0.3">
      <c r="A220">
        <v>1219</v>
      </c>
      <c r="B220" s="3">
        <v>45626</v>
      </c>
      <c r="C220" s="3">
        <v>45631</v>
      </c>
      <c r="D220" t="s">
        <v>110</v>
      </c>
      <c r="E220" t="s">
        <v>19</v>
      </c>
      <c r="F220" t="s">
        <v>46</v>
      </c>
      <c r="G220" t="s">
        <v>47</v>
      </c>
      <c r="H220" t="s">
        <v>48</v>
      </c>
      <c r="I220" t="s">
        <v>49</v>
      </c>
      <c r="J220" t="s">
        <v>35</v>
      </c>
      <c r="K220" t="s">
        <v>129</v>
      </c>
      <c r="L220" t="s">
        <v>604</v>
      </c>
      <c r="M220" s="1">
        <v>86517.3</v>
      </c>
      <c r="N220">
        <v>1</v>
      </c>
      <c r="O220" s="2">
        <v>0.3</v>
      </c>
      <c r="P220" s="1">
        <v>4051.26</v>
      </c>
      <c r="Q220" t="s">
        <v>67</v>
      </c>
      <c r="R220" t="s">
        <v>39</v>
      </c>
    </row>
    <row r="221" spans="1:18" x14ac:dyDescent="0.3">
      <c r="A221">
        <v>1220</v>
      </c>
      <c r="B221" s="3">
        <v>45454</v>
      </c>
      <c r="C221" s="3">
        <v>45456</v>
      </c>
      <c r="D221" t="s">
        <v>605</v>
      </c>
      <c r="E221" t="s">
        <v>346</v>
      </c>
      <c r="F221" t="s">
        <v>20</v>
      </c>
      <c r="G221" t="s">
        <v>56</v>
      </c>
      <c r="H221" t="s">
        <v>57</v>
      </c>
      <c r="I221" t="s">
        <v>58</v>
      </c>
      <c r="J221" t="s">
        <v>24</v>
      </c>
      <c r="K221" t="s">
        <v>50</v>
      </c>
      <c r="L221" t="s">
        <v>606</v>
      </c>
      <c r="M221" s="1">
        <v>63536.7</v>
      </c>
      <c r="N221">
        <v>3</v>
      </c>
      <c r="O221" s="2">
        <v>0.3</v>
      </c>
      <c r="P221" s="1">
        <v>6706.06</v>
      </c>
      <c r="Q221" t="s">
        <v>38</v>
      </c>
      <c r="R221" t="s">
        <v>39</v>
      </c>
    </row>
    <row r="222" spans="1:18" x14ac:dyDescent="0.3">
      <c r="A222">
        <v>1221</v>
      </c>
      <c r="B222" s="3">
        <v>45976</v>
      </c>
      <c r="C222" s="3">
        <v>45979</v>
      </c>
      <c r="D222" t="s">
        <v>512</v>
      </c>
      <c r="E222" t="s">
        <v>607</v>
      </c>
      <c r="F222" t="s">
        <v>31</v>
      </c>
      <c r="G222" t="s">
        <v>85</v>
      </c>
      <c r="H222" t="s">
        <v>86</v>
      </c>
      <c r="I222" t="s">
        <v>49</v>
      </c>
      <c r="J222" t="s">
        <v>64</v>
      </c>
      <c r="K222" t="s">
        <v>188</v>
      </c>
      <c r="L222" t="s">
        <v>608</v>
      </c>
      <c r="M222" s="1">
        <v>57884.639999999999</v>
      </c>
      <c r="N222">
        <v>4</v>
      </c>
      <c r="O222" s="2">
        <v>0.25</v>
      </c>
      <c r="P222" s="1">
        <v>4036.6</v>
      </c>
      <c r="Q222" t="s">
        <v>52</v>
      </c>
      <c r="R222" t="s">
        <v>39</v>
      </c>
    </row>
    <row r="223" spans="1:18" x14ac:dyDescent="0.3">
      <c r="A223">
        <v>1222</v>
      </c>
      <c r="B223" s="3">
        <v>45995</v>
      </c>
      <c r="C223" s="3">
        <v>45999</v>
      </c>
      <c r="D223" t="s">
        <v>431</v>
      </c>
      <c r="E223" t="s">
        <v>287</v>
      </c>
      <c r="F223" t="s">
        <v>46</v>
      </c>
      <c r="G223" t="s">
        <v>95</v>
      </c>
      <c r="H223" t="s">
        <v>22</v>
      </c>
      <c r="I223" t="s">
        <v>23</v>
      </c>
      <c r="J223" t="s">
        <v>35</v>
      </c>
      <c r="K223" t="s">
        <v>36</v>
      </c>
      <c r="L223" t="s">
        <v>185</v>
      </c>
      <c r="M223" s="1">
        <v>1903.5</v>
      </c>
      <c r="N223">
        <v>5</v>
      </c>
      <c r="O223" s="2">
        <v>0.15</v>
      </c>
      <c r="P223" s="1">
        <v>91.54</v>
      </c>
      <c r="Q223" t="s">
        <v>52</v>
      </c>
      <c r="R223" t="s">
        <v>120</v>
      </c>
    </row>
    <row r="224" spans="1:18" x14ac:dyDescent="0.3">
      <c r="A224">
        <v>1223</v>
      </c>
      <c r="B224" s="3">
        <v>45427</v>
      </c>
      <c r="C224" s="3">
        <v>45432</v>
      </c>
      <c r="D224" t="s">
        <v>609</v>
      </c>
      <c r="E224" t="s">
        <v>235</v>
      </c>
      <c r="F224" t="s">
        <v>20</v>
      </c>
      <c r="G224" t="s">
        <v>70</v>
      </c>
      <c r="H224" t="s">
        <v>71</v>
      </c>
      <c r="I224" t="s">
        <v>58</v>
      </c>
      <c r="J224" t="s">
        <v>24</v>
      </c>
      <c r="K224" t="s">
        <v>72</v>
      </c>
      <c r="L224" t="s">
        <v>610</v>
      </c>
      <c r="M224" s="1">
        <v>85805.92</v>
      </c>
      <c r="N224">
        <v>4</v>
      </c>
      <c r="O224" s="2">
        <v>0.1</v>
      </c>
      <c r="P224" s="1">
        <v>7103.01</v>
      </c>
      <c r="Q224" t="s">
        <v>74</v>
      </c>
      <c r="R224" t="s">
        <v>39</v>
      </c>
    </row>
    <row r="225" spans="1:18" x14ac:dyDescent="0.3">
      <c r="A225">
        <v>1224</v>
      </c>
      <c r="B225" s="3">
        <v>45387</v>
      </c>
      <c r="C225" s="3">
        <v>45390</v>
      </c>
      <c r="D225" t="s">
        <v>611</v>
      </c>
      <c r="E225" t="s">
        <v>486</v>
      </c>
      <c r="F225" t="s">
        <v>20</v>
      </c>
      <c r="G225" t="s">
        <v>70</v>
      </c>
      <c r="H225" t="s">
        <v>71</v>
      </c>
      <c r="I225" t="s">
        <v>58</v>
      </c>
      <c r="J225" t="s">
        <v>35</v>
      </c>
      <c r="K225" t="s">
        <v>59</v>
      </c>
      <c r="L225" t="s">
        <v>612</v>
      </c>
      <c r="M225" s="1">
        <v>41057.980000000003</v>
      </c>
      <c r="N225">
        <v>6</v>
      </c>
      <c r="O225" s="2">
        <v>0.2</v>
      </c>
      <c r="P225" s="1">
        <v>5808.58</v>
      </c>
      <c r="Q225" t="s">
        <v>52</v>
      </c>
      <c r="R225" t="s">
        <v>53</v>
      </c>
    </row>
    <row r="226" spans="1:18" x14ac:dyDescent="0.3">
      <c r="A226">
        <v>1225</v>
      </c>
      <c r="B226" s="3">
        <v>45431</v>
      </c>
      <c r="C226" s="3">
        <v>45435</v>
      </c>
      <c r="D226" t="s">
        <v>613</v>
      </c>
      <c r="E226" t="s">
        <v>312</v>
      </c>
      <c r="F226" t="s">
        <v>46</v>
      </c>
      <c r="G226" t="s">
        <v>102</v>
      </c>
      <c r="H226" t="s">
        <v>103</v>
      </c>
      <c r="I226" t="s">
        <v>58</v>
      </c>
      <c r="J226" t="s">
        <v>35</v>
      </c>
      <c r="K226" t="s">
        <v>36</v>
      </c>
      <c r="L226" t="s">
        <v>114</v>
      </c>
      <c r="M226" s="1">
        <v>22984.880000000001</v>
      </c>
      <c r="N226">
        <v>3</v>
      </c>
      <c r="O226" s="2">
        <v>0.2</v>
      </c>
      <c r="P226" s="1">
        <v>3226.9</v>
      </c>
      <c r="Q226" t="s">
        <v>115</v>
      </c>
      <c r="R226" t="s">
        <v>53</v>
      </c>
    </row>
    <row r="227" spans="1:18" x14ac:dyDescent="0.3">
      <c r="A227">
        <v>1226</v>
      </c>
      <c r="B227" s="3">
        <v>45991</v>
      </c>
      <c r="C227" s="3">
        <v>45992</v>
      </c>
      <c r="D227" t="s">
        <v>348</v>
      </c>
      <c r="E227" t="s">
        <v>202</v>
      </c>
      <c r="F227" t="s">
        <v>46</v>
      </c>
      <c r="G227" t="s">
        <v>95</v>
      </c>
      <c r="H227" t="s">
        <v>22</v>
      </c>
      <c r="I227" t="s">
        <v>23</v>
      </c>
      <c r="J227" t="s">
        <v>35</v>
      </c>
      <c r="K227" t="s">
        <v>129</v>
      </c>
      <c r="L227" t="s">
        <v>614</v>
      </c>
      <c r="M227" s="1">
        <v>38238.269999999997</v>
      </c>
      <c r="N227">
        <v>5</v>
      </c>
      <c r="O227" s="2">
        <v>0.1</v>
      </c>
      <c r="P227" s="1">
        <v>7444.54</v>
      </c>
      <c r="Q227" t="s">
        <v>67</v>
      </c>
      <c r="R227" t="s">
        <v>53</v>
      </c>
    </row>
    <row r="228" spans="1:18" x14ac:dyDescent="0.3">
      <c r="A228">
        <v>1227</v>
      </c>
      <c r="B228" s="3">
        <v>45855</v>
      </c>
      <c r="C228" s="3">
        <v>45858</v>
      </c>
      <c r="D228" t="s">
        <v>615</v>
      </c>
      <c r="E228" t="s">
        <v>257</v>
      </c>
      <c r="F228" t="s">
        <v>31</v>
      </c>
      <c r="G228" t="s">
        <v>95</v>
      </c>
      <c r="H228" t="s">
        <v>22</v>
      </c>
      <c r="I228" t="s">
        <v>23</v>
      </c>
      <c r="J228" t="s">
        <v>35</v>
      </c>
      <c r="K228" t="s">
        <v>42</v>
      </c>
      <c r="L228" t="s">
        <v>616</v>
      </c>
      <c r="M228" s="1">
        <v>36787.019999999997</v>
      </c>
      <c r="N228">
        <v>1</v>
      </c>
      <c r="O228" s="2">
        <v>0.05</v>
      </c>
      <c r="P228" s="1">
        <v>7887.51</v>
      </c>
      <c r="Q228" t="s">
        <v>38</v>
      </c>
      <c r="R228" t="s">
        <v>53</v>
      </c>
    </row>
    <row r="229" spans="1:18" x14ac:dyDescent="0.3">
      <c r="A229">
        <v>1228</v>
      </c>
      <c r="B229" s="3">
        <v>45588</v>
      </c>
      <c r="C229" s="3">
        <v>45590</v>
      </c>
      <c r="D229" t="s">
        <v>272</v>
      </c>
      <c r="E229" t="s">
        <v>550</v>
      </c>
      <c r="F229" t="s">
        <v>46</v>
      </c>
      <c r="G229" t="s">
        <v>47</v>
      </c>
      <c r="H229" t="s">
        <v>48</v>
      </c>
      <c r="I229" t="s">
        <v>49</v>
      </c>
      <c r="J229" t="s">
        <v>24</v>
      </c>
      <c r="K229" t="s">
        <v>25</v>
      </c>
      <c r="L229" t="s">
        <v>617</v>
      </c>
      <c r="M229" s="1">
        <v>61997.72</v>
      </c>
      <c r="N229">
        <v>8</v>
      </c>
      <c r="O229" s="2">
        <v>0.1</v>
      </c>
      <c r="P229" s="1">
        <v>9238.01</v>
      </c>
      <c r="Q229" t="s">
        <v>38</v>
      </c>
      <c r="R229" t="s">
        <v>53</v>
      </c>
    </row>
    <row r="230" spans="1:18" x14ac:dyDescent="0.3">
      <c r="A230">
        <v>1229</v>
      </c>
      <c r="B230" s="3">
        <v>45816</v>
      </c>
      <c r="C230" s="3">
        <v>45821</v>
      </c>
      <c r="D230" t="s">
        <v>618</v>
      </c>
      <c r="E230" t="s">
        <v>619</v>
      </c>
      <c r="F230" t="s">
        <v>20</v>
      </c>
      <c r="G230" t="s">
        <v>21</v>
      </c>
      <c r="H230" t="s">
        <v>22</v>
      </c>
      <c r="I230" t="s">
        <v>23</v>
      </c>
      <c r="J230" t="s">
        <v>64</v>
      </c>
      <c r="K230" t="s">
        <v>80</v>
      </c>
      <c r="L230" t="s">
        <v>620</v>
      </c>
      <c r="M230" s="1">
        <v>53389.08</v>
      </c>
      <c r="N230">
        <v>5</v>
      </c>
      <c r="O230" s="2">
        <v>0.25</v>
      </c>
      <c r="P230" s="1">
        <v>3318.65</v>
      </c>
      <c r="Q230" t="s">
        <v>115</v>
      </c>
      <c r="R230" t="s">
        <v>39</v>
      </c>
    </row>
    <row r="231" spans="1:18" x14ac:dyDescent="0.3">
      <c r="A231">
        <v>1230</v>
      </c>
      <c r="B231" s="3">
        <v>45623</v>
      </c>
      <c r="C231" s="3">
        <v>45625</v>
      </c>
      <c r="D231" t="s">
        <v>621</v>
      </c>
      <c r="E231" t="s">
        <v>89</v>
      </c>
      <c r="F231" t="s">
        <v>46</v>
      </c>
      <c r="G231" t="s">
        <v>95</v>
      </c>
      <c r="H231" t="s">
        <v>22</v>
      </c>
      <c r="I231" t="s">
        <v>23</v>
      </c>
      <c r="J231" t="s">
        <v>64</v>
      </c>
      <c r="K231" t="s">
        <v>104</v>
      </c>
      <c r="L231" t="s">
        <v>622</v>
      </c>
      <c r="M231" s="1">
        <v>86770.14</v>
      </c>
      <c r="N231">
        <v>7</v>
      </c>
      <c r="O231" s="2">
        <v>0</v>
      </c>
      <c r="P231" s="1">
        <v>23895.51</v>
      </c>
      <c r="Q231" t="s">
        <v>82</v>
      </c>
      <c r="R231" t="s">
        <v>28</v>
      </c>
    </row>
    <row r="232" spans="1:18" x14ac:dyDescent="0.3">
      <c r="A232">
        <v>1231</v>
      </c>
      <c r="B232" s="3">
        <v>45460</v>
      </c>
      <c r="C232" s="3">
        <v>45464</v>
      </c>
      <c r="D232" t="s">
        <v>283</v>
      </c>
      <c r="E232" t="s">
        <v>268</v>
      </c>
      <c r="F232" t="s">
        <v>31</v>
      </c>
      <c r="G232" t="s">
        <v>95</v>
      </c>
      <c r="H232" t="s">
        <v>22</v>
      </c>
      <c r="I232" t="s">
        <v>23</v>
      </c>
      <c r="J232" t="s">
        <v>64</v>
      </c>
      <c r="K232" t="s">
        <v>188</v>
      </c>
      <c r="L232" t="s">
        <v>623</v>
      </c>
      <c r="M232" s="1">
        <v>79635.56</v>
      </c>
      <c r="N232">
        <v>4</v>
      </c>
      <c r="O232" s="2">
        <v>0.25</v>
      </c>
      <c r="P232" s="1">
        <v>12378.54</v>
      </c>
      <c r="Q232" t="s">
        <v>74</v>
      </c>
      <c r="R232" t="s">
        <v>39</v>
      </c>
    </row>
    <row r="233" spans="1:18" x14ac:dyDescent="0.3">
      <c r="A233">
        <v>1232</v>
      </c>
      <c r="B233" s="3">
        <v>45654</v>
      </c>
      <c r="C233" s="3">
        <v>45659</v>
      </c>
      <c r="D233" t="s">
        <v>54</v>
      </c>
      <c r="E233" t="s">
        <v>479</v>
      </c>
      <c r="F233" t="s">
        <v>31</v>
      </c>
      <c r="G233" t="s">
        <v>85</v>
      </c>
      <c r="H233" t="s">
        <v>86</v>
      </c>
      <c r="I233" t="s">
        <v>49</v>
      </c>
      <c r="J233" t="s">
        <v>24</v>
      </c>
      <c r="K233" t="s">
        <v>50</v>
      </c>
      <c r="L233" t="s">
        <v>624</v>
      </c>
      <c r="M233" s="1">
        <v>83515.75</v>
      </c>
      <c r="N233">
        <v>5</v>
      </c>
      <c r="O233" s="2">
        <v>0.05</v>
      </c>
      <c r="P233" s="1">
        <v>14701.57</v>
      </c>
      <c r="Q233" t="s">
        <v>38</v>
      </c>
      <c r="R233" t="s">
        <v>28</v>
      </c>
    </row>
    <row r="234" spans="1:18" x14ac:dyDescent="0.3">
      <c r="A234">
        <v>1233</v>
      </c>
      <c r="B234" s="3">
        <v>45347</v>
      </c>
      <c r="C234" s="3">
        <v>45353</v>
      </c>
      <c r="D234" t="s">
        <v>308</v>
      </c>
      <c r="E234" t="s">
        <v>163</v>
      </c>
      <c r="F234" t="s">
        <v>46</v>
      </c>
      <c r="G234" t="s">
        <v>107</v>
      </c>
      <c r="H234" t="s">
        <v>108</v>
      </c>
      <c r="I234" t="s">
        <v>34</v>
      </c>
      <c r="J234" t="s">
        <v>35</v>
      </c>
      <c r="K234" t="s">
        <v>59</v>
      </c>
      <c r="L234" t="s">
        <v>625</v>
      </c>
      <c r="M234" s="1">
        <v>30212.39</v>
      </c>
      <c r="N234">
        <v>9</v>
      </c>
      <c r="O234" s="2">
        <v>0.25</v>
      </c>
      <c r="P234" s="1">
        <v>3657.95</v>
      </c>
      <c r="Q234" t="s">
        <v>74</v>
      </c>
      <c r="R234" t="s">
        <v>120</v>
      </c>
    </row>
    <row r="235" spans="1:18" x14ac:dyDescent="0.3">
      <c r="A235">
        <v>1234</v>
      </c>
      <c r="B235" s="3">
        <v>45451</v>
      </c>
      <c r="C235" s="3">
        <v>45456</v>
      </c>
      <c r="D235" t="s">
        <v>423</v>
      </c>
      <c r="E235" t="s">
        <v>626</v>
      </c>
      <c r="F235" t="s">
        <v>31</v>
      </c>
      <c r="G235" t="s">
        <v>85</v>
      </c>
      <c r="H235" t="s">
        <v>86</v>
      </c>
      <c r="I235" t="s">
        <v>49</v>
      </c>
      <c r="J235" t="s">
        <v>64</v>
      </c>
      <c r="K235" t="s">
        <v>157</v>
      </c>
      <c r="L235" t="s">
        <v>627</v>
      </c>
      <c r="M235" s="1">
        <v>18463.29</v>
      </c>
      <c r="N235">
        <v>6</v>
      </c>
      <c r="O235" s="2">
        <v>0.1</v>
      </c>
      <c r="P235" s="1">
        <v>3091.21</v>
      </c>
      <c r="Q235" t="s">
        <v>74</v>
      </c>
      <c r="R235" t="s">
        <v>120</v>
      </c>
    </row>
    <row r="236" spans="1:18" x14ac:dyDescent="0.3">
      <c r="A236">
        <v>1235</v>
      </c>
      <c r="B236" s="3">
        <v>45687</v>
      </c>
      <c r="C236" s="3">
        <v>45692</v>
      </c>
      <c r="D236" t="s">
        <v>628</v>
      </c>
      <c r="E236" t="s">
        <v>629</v>
      </c>
      <c r="F236" t="s">
        <v>20</v>
      </c>
      <c r="G236" t="s">
        <v>112</v>
      </c>
      <c r="H236" t="s">
        <v>113</v>
      </c>
      <c r="I236" t="s">
        <v>49</v>
      </c>
      <c r="J236" t="s">
        <v>64</v>
      </c>
      <c r="K236" t="s">
        <v>157</v>
      </c>
      <c r="L236" t="s">
        <v>630</v>
      </c>
      <c r="M236" s="1">
        <v>60024.87</v>
      </c>
      <c r="N236">
        <v>1</v>
      </c>
      <c r="O236" s="2">
        <v>0.2</v>
      </c>
      <c r="P236" s="1">
        <v>10150.06</v>
      </c>
      <c r="Q236" t="s">
        <v>82</v>
      </c>
      <c r="R236" t="s">
        <v>28</v>
      </c>
    </row>
    <row r="237" spans="1:18" x14ac:dyDescent="0.3">
      <c r="A237">
        <v>1236</v>
      </c>
      <c r="B237" s="3">
        <v>45367</v>
      </c>
      <c r="C237" s="3">
        <v>45370</v>
      </c>
      <c r="D237" t="s">
        <v>556</v>
      </c>
      <c r="E237" t="s">
        <v>631</v>
      </c>
      <c r="F237" t="s">
        <v>31</v>
      </c>
      <c r="G237" t="s">
        <v>47</v>
      </c>
      <c r="H237" t="s">
        <v>48</v>
      </c>
      <c r="I237" t="s">
        <v>49</v>
      </c>
      <c r="J237" t="s">
        <v>64</v>
      </c>
      <c r="K237" t="s">
        <v>104</v>
      </c>
      <c r="L237" t="s">
        <v>632</v>
      </c>
      <c r="M237" s="1">
        <v>79257.86</v>
      </c>
      <c r="N237">
        <v>9</v>
      </c>
      <c r="O237" s="2">
        <v>0.05</v>
      </c>
      <c r="P237" s="1">
        <v>18093.77</v>
      </c>
      <c r="Q237" t="s">
        <v>38</v>
      </c>
      <c r="R237" t="s">
        <v>39</v>
      </c>
    </row>
    <row r="238" spans="1:18" x14ac:dyDescent="0.3">
      <c r="A238">
        <v>1237</v>
      </c>
      <c r="B238" s="3">
        <v>45338</v>
      </c>
      <c r="C238" s="3">
        <v>45342</v>
      </c>
      <c r="D238" t="s">
        <v>375</v>
      </c>
      <c r="E238" t="s">
        <v>519</v>
      </c>
      <c r="F238" t="s">
        <v>20</v>
      </c>
      <c r="G238" t="s">
        <v>112</v>
      </c>
      <c r="H238" t="s">
        <v>113</v>
      </c>
      <c r="I238" t="s">
        <v>49</v>
      </c>
      <c r="J238" t="s">
        <v>64</v>
      </c>
      <c r="K238" t="s">
        <v>188</v>
      </c>
      <c r="L238" t="s">
        <v>633</v>
      </c>
      <c r="M238" s="1">
        <v>13487.7</v>
      </c>
      <c r="N238">
        <v>4</v>
      </c>
      <c r="O238" s="2">
        <v>0.2</v>
      </c>
      <c r="P238" s="1">
        <v>1908.19</v>
      </c>
      <c r="Q238" t="s">
        <v>115</v>
      </c>
      <c r="R238" t="s">
        <v>28</v>
      </c>
    </row>
    <row r="239" spans="1:18" x14ac:dyDescent="0.3">
      <c r="A239">
        <v>1238</v>
      </c>
      <c r="B239" s="3">
        <v>45435</v>
      </c>
      <c r="C239" s="3">
        <v>45441</v>
      </c>
      <c r="D239" t="s">
        <v>295</v>
      </c>
      <c r="E239" t="s">
        <v>634</v>
      </c>
      <c r="F239" t="s">
        <v>20</v>
      </c>
      <c r="G239" t="s">
        <v>85</v>
      </c>
      <c r="H239" t="s">
        <v>86</v>
      </c>
      <c r="I239" t="s">
        <v>49</v>
      </c>
      <c r="J239" t="s">
        <v>64</v>
      </c>
      <c r="K239" t="s">
        <v>188</v>
      </c>
      <c r="L239" t="s">
        <v>635</v>
      </c>
      <c r="M239" s="1">
        <v>88502.16</v>
      </c>
      <c r="N239">
        <v>4</v>
      </c>
      <c r="O239" s="2">
        <v>0.3</v>
      </c>
      <c r="P239" s="1">
        <v>18.690000000000001</v>
      </c>
      <c r="Q239" t="s">
        <v>27</v>
      </c>
      <c r="R239" t="s">
        <v>120</v>
      </c>
    </row>
    <row r="240" spans="1:18" x14ac:dyDescent="0.3">
      <c r="A240">
        <v>1239</v>
      </c>
      <c r="B240" s="3">
        <v>45553</v>
      </c>
      <c r="C240" s="3">
        <v>45558</v>
      </c>
      <c r="D240" t="s">
        <v>636</v>
      </c>
      <c r="E240" t="s">
        <v>637</v>
      </c>
      <c r="F240" t="s">
        <v>20</v>
      </c>
      <c r="G240" t="s">
        <v>21</v>
      </c>
      <c r="H240" t="s">
        <v>22</v>
      </c>
      <c r="I240" t="s">
        <v>23</v>
      </c>
      <c r="J240" t="s">
        <v>24</v>
      </c>
      <c r="K240" t="s">
        <v>212</v>
      </c>
      <c r="L240" t="s">
        <v>638</v>
      </c>
      <c r="M240" s="1">
        <v>19109.12</v>
      </c>
      <c r="N240">
        <v>5</v>
      </c>
      <c r="O240" s="2">
        <v>0.1</v>
      </c>
      <c r="P240" s="1">
        <v>4560.79</v>
      </c>
      <c r="Q240" t="s">
        <v>52</v>
      </c>
      <c r="R240" t="s">
        <v>53</v>
      </c>
    </row>
    <row r="241" spans="1:18" x14ac:dyDescent="0.3">
      <c r="A241">
        <v>1240</v>
      </c>
      <c r="B241" s="3">
        <v>45753</v>
      </c>
      <c r="C241" s="3">
        <v>45759</v>
      </c>
      <c r="D241" t="s">
        <v>491</v>
      </c>
      <c r="E241" t="s">
        <v>639</v>
      </c>
      <c r="F241" t="s">
        <v>31</v>
      </c>
      <c r="G241" t="s">
        <v>32</v>
      </c>
      <c r="H241" t="s">
        <v>33</v>
      </c>
      <c r="I241" t="s">
        <v>34</v>
      </c>
      <c r="J241" t="s">
        <v>24</v>
      </c>
      <c r="K241" t="s">
        <v>50</v>
      </c>
      <c r="L241" t="s">
        <v>640</v>
      </c>
      <c r="M241" s="1">
        <v>40224.29</v>
      </c>
      <c r="N241">
        <v>8</v>
      </c>
      <c r="O241" s="2">
        <v>0.25</v>
      </c>
      <c r="P241" s="1">
        <v>1032.8699999999999</v>
      </c>
      <c r="Q241" t="s">
        <v>74</v>
      </c>
      <c r="R241" t="s">
        <v>53</v>
      </c>
    </row>
    <row r="242" spans="1:18" x14ac:dyDescent="0.3">
      <c r="A242">
        <v>1241</v>
      </c>
      <c r="B242" s="3">
        <v>45999</v>
      </c>
      <c r="C242" s="3">
        <v>46000</v>
      </c>
      <c r="D242" t="s">
        <v>641</v>
      </c>
      <c r="E242" t="s">
        <v>191</v>
      </c>
      <c r="F242" t="s">
        <v>31</v>
      </c>
      <c r="G242" t="s">
        <v>32</v>
      </c>
      <c r="H242" t="s">
        <v>33</v>
      </c>
      <c r="I242" t="s">
        <v>34</v>
      </c>
      <c r="J242" t="s">
        <v>64</v>
      </c>
      <c r="K242" t="s">
        <v>188</v>
      </c>
      <c r="L242" t="s">
        <v>642</v>
      </c>
      <c r="M242" s="1">
        <v>21100.79</v>
      </c>
      <c r="N242">
        <v>7</v>
      </c>
      <c r="O242" s="2">
        <v>0.05</v>
      </c>
      <c r="P242" s="1">
        <v>2591.2399999999998</v>
      </c>
      <c r="Q242" t="s">
        <v>74</v>
      </c>
      <c r="R242" t="s">
        <v>53</v>
      </c>
    </row>
    <row r="243" spans="1:18" x14ac:dyDescent="0.3">
      <c r="A243">
        <v>1242</v>
      </c>
      <c r="B243" s="3">
        <v>45881</v>
      </c>
      <c r="C243" s="3">
        <v>45884</v>
      </c>
      <c r="D243" t="s">
        <v>643</v>
      </c>
      <c r="E243" t="s">
        <v>644</v>
      </c>
      <c r="F243" t="s">
        <v>46</v>
      </c>
      <c r="G243" t="s">
        <v>112</v>
      </c>
      <c r="H243" t="s">
        <v>113</v>
      </c>
      <c r="I243" t="s">
        <v>49</v>
      </c>
      <c r="J243" t="s">
        <v>64</v>
      </c>
      <c r="K243" t="s">
        <v>104</v>
      </c>
      <c r="L243" t="s">
        <v>645</v>
      </c>
      <c r="M243" s="1">
        <v>74175.7</v>
      </c>
      <c r="N243">
        <v>10</v>
      </c>
      <c r="O243" s="2">
        <v>0.25</v>
      </c>
      <c r="P243" s="1">
        <v>4678.04</v>
      </c>
      <c r="Q243" t="s">
        <v>61</v>
      </c>
      <c r="R243" t="s">
        <v>28</v>
      </c>
    </row>
    <row r="244" spans="1:18" x14ac:dyDescent="0.3">
      <c r="A244">
        <v>1243</v>
      </c>
      <c r="B244" s="3">
        <v>45670</v>
      </c>
      <c r="C244" s="3">
        <v>45671</v>
      </c>
      <c r="D244" t="s">
        <v>500</v>
      </c>
      <c r="E244" t="s">
        <v>646</v>
      </c>
      <c r="F244" t="s">
        <v>31</v>
      </c>
      <c r="G244" t="s">
        <v>95</v>
      </c>
      <c r="H244" t="s">
        <v>22</v>
      </c>
      <c r="I244" t="s">
        <v>23</v>
      </c>
      <c r="J244" t="s">
        <v>24</v>
      </c>
      <c r="K244" t="s">
        <v>212</v>
      </c>
      <c r="L244" t="s">
        <v>647</v>
      </c>
      <c r="M244" s="1">
        <v>27017.63</v>
      </c>
      <c r="N244">
        <v>4</v>
      </c>
      <c r="O244" s="2">
        <v>0.05</v>
      </c>
      <c r="P244" s="1">
        <v>2584.13</v>
      </c>
      <c r="Q244" t="s">
        <v>61</v>
      </c>
      <c r="R244" t="s">
        <v>120</v>
      </c>
    </row>
    <row r="245" spans="1:18" x14ac:dyDescent="0.3">
      <c r="A245">
        <v>1244</v>
      </c>
      <c r="B245" s="3">
        <v>45713</v>
      </c>
      <c r="C245" s="3">
        <v>45719</v>
      </c>
      <c r="D245" t="s">
        <v>648</v>
      </c>
      <c r="E245" t="s">
        <v>649</v>
      </c>
      <c r="F245" t="s">
        <v>31</v>
      </c>
      <c r="G245" t="s">
        <v>32</v>
      </c>
      <c r="H245" t="s">
        <v>33</v>
      </c>
      <c r="I245" t="s">
        <v>34</v>
      </c>
      <c r="J245" t="s">
        <v>64</v>
      </c>
      <c r="K245" t="s">
        <v>188</v>
      </c>
      <c r="L245" t="s">
        <v>650</v>
      </c>
      <c r="M245" s="1">
        <v>74254.36</v>
      </c>
      <c r="N245">
        <v>4</v>
      </c>
      <c r="O245" s="2">
        <v>0.05</v>
      </c>
      <c r="P245" s="1">
        <v>20754.830000000002</v>
      </c>
      <c r="Q245" t="s">
        <v>74</v>
      </c>
      <c r="R245" t="s">
        <v>53</v>
      </c>
    </row>
    <row r="246" spans="1:18" x14ac:dyDescent="0.3">
      <c r="A246">
        <v>1245</v>
      </c>
      <c r="B246" s="3">
        <v>45834</v>
      </c>
      <c r="C246" s="3">
        <v>45835</v>
      </c>
      <c r="D246" t="s">
        <v>651</v>
      </c>
      <c r="E246" t="s">
        <v>542</v>
      </c>
      <c r="F246" t="s">
        <v>31</v>
      </c>
      <c r="G246" t="s">
        <v>56</v>
      </c>
      <c r="H246" t="s">
        <v>57</v>
      </c>
      <c r="I246" t="s">
        <v>58</v>
      </c>
      <c r="J246" t="s">
        <v>24</v>
      </c>
      <c r="K246" t="s">
        <v>25</v>
      </c>
      <c r="L246" t="s">
        <v>652</v>
      </c>
      <c r="M246" s="1">
        <v>88693.84</v>
      </c>
      <c r="N246">
        <v>6</v>
      </c>
      <c r="O246" s="2">
        <v>0.15</v>
      </c>
      <c r="P246" s="1">
        <v>6956.8</v>
      </c>
      <c r="Q246" t="s">
        <v>74</v>
      </c>
      <c r="R246" t="s">
        <v>28</v>
      </c>
    </row>
    <row r="247" spans="1:18" x14ac:dyDescent="0.3">
      <c r="A247">
        <v>1246</v>
      </c>
      <c r="B247" s="3">
        <v>45540</v>
      </c>
      <c r="C247" s="3">
        <v>45542</v>
      </c>
      <c r="D247" t="s">
        <v>399</v>
      </c>
      <c r="E247" t="s">
        <v>303</v>
      </c>
      <c r="F247" t="s">
        <v>46</v>
      </c>
      <c r="G247" t="s">
        <v>95</v>
      </c>
      <c r="H247" t="s">
        <v>22</v>
      </c>
      <c r="I247" t="s">
        <v>23</v>
      </c>
      <c r="J247" t="s">
        <v>64</v>
      </c>
      <c r="K247" t="s">
        <v>157</v>
      </c>
      <c r="L247" t="s">
        <v>653</v>
      </c>
      <c r="M247" s="1">
        <v>24108.93</v>
      </c>
      <c r="N247">
        <v>2</v>
      </c>
      <c r="O247" s="2">
        <v>0.15</v>
      </c>
      <c r="P247" s="1">
        <v>2003.97</v>
      </c>
      <c r="Q247" t="s">
        <v>74</v>
      </c>
      <c r="R247" t="s">
        <v>53</v>
      </c>
    </row>
    <row r="248" spans="1:18" x14ac:dyDescent="0.3">
      <c r="A248">
        <v>1247</v>
      </c>
      <c r="B248" s="3">
        <v>45681</v>
      </c>
      <c r="C248" s="3">
        <v>45682</v>
      </c>
      <c r="D248" t="s">
        <v>93</v>
      </c>
      <c r="E248" t="s">
        <v>654</v>
      </c>
      <c r="F248" t="s">
        <v>31</v>
      </c>
      <c r="G248" t="s">
        <v>21</v>
      </c>
      <c r="H248" t="s">
        <v>22</v>
      </c>
      <c r="I248" t="s">
        <v>23</v>
      </c>
      <c r="J248" t="s">
        <v>35</v>
      </c>
      <c r="K248" t="s">
        <v>129</v>
      </c>
      <c r="L248" t="s">
        <v>655</v>
      </c>
      <c r="M248" s="1">
        <v>16772.82</v>
      </c>
      <c r="N248">
        <v>8</v>
      </c>
      <c r="O248" s="2">
        <v>0.25</v>
      </c>
      <c r="P248" s="1">
        <v>1761.12</v>
      </c>
      <c r="Q248" t="s">
        <v>67</v>
      </c>
      <c r="R248" t="s">
        <v>53</v>
      </c>
    </row>
    <row r="249" spans="1:18" x14ac:dyDescent="0.3">
      <c r="A249">
        <v>1248</v>
      </c>
      <c r="B249" s="3">
        <v>45829</v>
      </c>
      <c r="C249" s="3">
        <v>45833</v>
      </c>
      <c r="D249" t="s">
        <v>461</v>
      </c>
      <c r="E249" t="s">
        <v>656</v>
      </c>
      <c r="F249" t="s">
        <v>46</v>
      </c>
      <c r="G249" t="s">
        <v>107</v>
      </c>
      <c r="H249" t="s">
        <v>108</v>
      </c>
      <c r="I249" t="s">
        <v>34</v>
      </c>
      <c r="J249" t="s">
        <v>24</v>
      </c>
      <c r="K249" t="s">
        <v>72</v>
      </c>
      <c r="L249" t="s">
        <v>657</v>
      </c>
      <c r="M249" s="1">
        <v>87502.2</v>
      </c>
      <c r="N249">
        <v>7</v>
      </c>
      <c r="O249" s="2">
        <v>0.05</v>
      </c>
      <c r="P249" s="1">
        <v>14228.08</v>
      </c>
      <c r="Q249" t="s">
        <v>67</v>
      </c>
      <c r="R249" t="s">
        <v>39</v>
      </c>
    </row>
    <row r="250" spans="1:18" x14ac:dyDescent="0.3">
      <c r="A250">
        <v>1249</v>
      </c>
      <c r="B250" s="3">
        <v>45719</v>
      </c>
      <c r="C250" s="3">
        <v>45721</v>
      </c>
      <c r="D250" t="s">
        <v>658</v>
      </c>
      <c r="E250" t="s">
        <v>659</v>
      </c>
      <c r="F250" t="s">
        <v>46</v>
      </c>
      <c r="G250" t="s">
        <v>21</v>
      </c>
      <c r="H250" t="s">
        <v>22</v>
      </c>
      <c r="I250" t="s">
        <v>23</v>
      </c>
      <c r="J250" t="s">
        <v>35</v>
      </c>
      <c r="K250" t="s">
        <v>129</v>
      </c>
      <c r="L250" t="s">
        <v>660</v>
      </c>
      <c r="M250" s="1">
        <v>25203.57</v>
      </c>
      <c r="N250">
        <v>1</v>
      </c>
      <c r="O250" s="2">
        <v>0</v>
      </c>
      <c r="P250" s="1">
        <v>7123.96</v>
      </c>
      <c r="Q250" t="s">
        <v>52</v>
      </c>
      <c r="R250" t="s">
        <v>28</v>
      </c>
    </row>
    <row r="251" spans="1:18" x14ac:dyDescent="0.3">
      <c r="A251">
        <v>1250</v>
      </c>
      <c r="B251" s="3">
        <v>45516</v>
      </c>
      <c r="C251" s="3">
        <v>45518</v>
      </c>
      <c r="D251" t="s">
        <v>325</v>
      </c>
      <c r="E251" t="s">
        <v>290</v>
      </c>
      <c r="F251" t="s">
        <v>20</v>
      </c>
      <c r="G251" t="s">
        <v>95</v>
      </c>
      <c r="H251" t="s">
        <v>22</v>
      </c>
      <c r="I251" t="s">
        <v>23</v>
      </c>
      <c r="J251" t="s">
        <v>35</v>
      </c>
      <c r="K251" t="s">
        <v>42</v>
      </c>
      <c r="L251" t="s">
        <v>661</v>
      </c>
      <c r="M251" s="1">
        <v>12857.97</v>
      </c>
      <c r="N251">
        <v>7</v>
      </c>
      <c r="O251" s="2">
        <v>0.15</v>
      </c>
      <c r="P251" s="1">
        <v>517.76</v>
      </c>
      <c r="Q251" t="s">
        <v>27</v>
      </c>
      <c r="R251" t="s">
        <v>39</v>
      </c>
    </row>
    <row r="252" spans="1:18" x14ac:dyDescent="0.3">
      <c r="A252">
        <v>1251</v>
      </c>
      <c r="B252" s="3">
        <v>45301</v>
      </c>
      <c r="C252" s="3">
        <v>45304</v>
      </c>
      <c r="D252" t="s">
        <v>380</v>
      </c>
      <c r="E252" t="s">
        <v>662</v>
      </c>
      <c r="F252" t="s">
        <v>31</v>
      </c>
      <c r="G252" t="s">
        <v>107</v>
      </c>
      <c r="H252" t="s">
        <v>108</v>
      </c>
      <c r="I252" t="s">
        <v>34</v>
      </c>
      <c r="J252" t="s">
        <v>64</v>
      </c>
      <c r="K252" t="s">
        <v>157</v>
      </c>
      <c r="L252" t="s">
        <v>663</v>
      </c>
      <c r="M252" s="1">
        <v>88272.39</v>
      </c>
      <c r="N252">
        <v>7</v>
      </c>
      <c r="O252" s="2">
        <v>0.25</v>
      </c>
      <c r="P252" s="1">
        <v>8393.51</v>
      </c>
      <c r="Q252" t="s">
        <v>115</v>
      </c>
      <c r="R252" t="s">
        <v>39</v>
      </c>
    </row>
    <row r="253" spans="1:18" x14ac:dyDescent="0.3">
      <c r="A253">
        <v>1252</v>
      </c>
      <c r="B253" s="3">
        <v>45699</v>
      </c>
      <c r="C253" s="3">
        <v>45702</v>
      </c>
      <c r="D253" t="s">
        <v>664</v>
      </c>
      <c r="E253" t="s">
        <v>451</v>
      </c>
      <c r="F253" t="s">
        <v>46</v>
      </c>
      <c r="G253" t="s">
        <v>85</v>
      </c>
      <c r="H253" t="s">
        <v>86</v>
      </c>
      <c r="I253" t="s">
        <v>49</v>
      </c>
      <c r="J253" t="s">
        <v>24</v>
      </c>
      <c r="K253" t="s">
        <v>25</v>
      </c>
      <c r="L253" t="s">
        <v>665</v>
      </c>
      <c r="M253" s="1">
        <v>72328</v>
      </c>
      <c r="N253">
        <v>6</v>
      </c>
      <c r="O253" s="2">
        <v>0</v>
      </c>
      <c r="P253" s="1">
        <v>17407.52</v>
      </c>
      <c r="Q253" t="s">
        <v>27</v>
      </c>
      <c r="R253" t="s">
        <v>120</v>
      </c>
    </row>
    <row r="254" spans="1:18" x14ac:dyDescent="0.3">
      <c r="A254">
        <v>1253</v>
      </c>
      <c r="B254" s="3">
        <v>45538</v>
      </c>
      <c r="C254" s="3">
        <v>45543</v>
      </c>
      <c r="D254" t="s">
        <v>666</v>
      </c>
      <c r="E254" t="s">
        <v>335</v>
      </c>
      <c r="F254" t="s">
        <v>31</v>
      </c>
      <c r="G254" t="s">
        <v>56</v>
      </c>
      <c r="H254" t="s">
        <v>57</v>
      </c>
      <c r="I254" t="s">
        <v>58</v>
      </c>
      <c r="J254" t="s">
        <v>35</v>
      </c>
      <c r="K254" t="s">
        <v>42</v>
      </c>
      <c r="L254" t="s">
        <v>667</v>
      </c>
      <c r="M254" s="1">
        <v>79747.789999999994</v>
      </c>
      <c r="N254">
        <v>7</v>
      </c>
      <c r="O254" s="2">
        <v>0</v>
      </c>
      <c r="P254" s="1">
        <v>15686.31</v>
      </c>
      <c r="Q254" t="s">
        <v>61</v>
      </c>
      <c r="R254" t="s">
        <v>28</v>
      </c>
    </row>
    <row r="255" spans="1:18" x14ac:dyDescent="0.3">
      <c r="A255">
        <v>1254</v>
      </c>
      <c r="B255" s="3">
        <v>45832</v>
      </c>
      <c r="C255" s="3">
        <v>45833</v>
      </c>
      <c r="D255" t="s">
        <v>529</v>
      </c>
      <c r="E255" t="s">
        <v>373</v>
      </c>
      <c r="F255" t="s">
        <v>20</v>
      </c>
      <c r="G255" t="s">
        <v>21</v>
      </c>
      <c r="H255" t="s">
        <v>22</v>
      </c>
      <c r="I255" t="s">
        <v>23</v>
      </c>
      <c r="J255" t="s">
        <v>35</v>
      </c>
      <c r="K255" t="s">
        <v>42</v>
      </c>
      <c r="L255" t="s">
        <v>668</v>
      </c>
      <c r="M255" s="1">
        <v>24502.799999999999</v>
      </c>
      <c r="N255">
        <v>10</v>
      </c>
      <c r="O255" s="2">
        <v>0.05</v>
      </c>
      <c r="P255" s="1">
        <v>3229.43</v>
      </c>
      <c r="Q255" t="s">
        <v>115</v>
      </c>
      <c r="R255" t="s">
        <v>53</v>
      </c>
    </row>
    <row r="256" spans="1:18" x14ac:dyDescent="0.3">
      <c r="A256">
        <v>1255</v>
      </c>
      <c r="B256" s="3">
        <v>45932</v>
      </c>
      <c r="C256" s="3">
        <v>45937</v>
      </c>
      <c r="D256" t="s">
        <v>318</v>
      </c>
      <c r="E256" t="s">
        <v>669</v>
      </c>
      <c r="F256" t="s">
        <v>31</v>
      </c>
      <c r="G256" t="s">
        <v>56</v>
      </c>
      <c r="H256" t="s">
        <v>57</v>
      </c>
      <c r="I256" t="s">
        <v>58</v>
      </c>
      <c r="J256" t="s">
        <v>35</v>
      </c>
      <c r="K256" t="s">
        <v>42</v>
      </c>
      <c r="L256" t="s">
        <v>670</v>
      </c>
      <c r="M256" s="1">
        <v>78490.31</v>
      </c>
      <c r="N256">
        <v>5</v>
      </c>
      <c r="O256" s="2">
        <v>0</v>
      </c>
      <c r="P256" s="1">
        <v>10519.23</v>
      </c>
      <c r="Q256" t="s">
        <v>27</v>
      </c>
      <c r="R256" t="s">
        <v>53</v>
      </c>
    </row>
    <row r="257" spans="1:18" x14ac:dyDescent="0.3">
      <c r="A257">
        <v>1256</v>
      </c>
      <c r="B257" s="3">
        <v>45828</v>
      </c>
      <c r="C257" s="3">
        <v>45833</v>
      </c>
      <c r="D257" t="s">
        <v>431</v>
      </c>
      <c r="E257" t="s">
        <v>671</v>
      </c>
      <c r="F257" t="s">
        <v>31</v>
      </c>
      <c r="G257" t="s">
        <v>95</v>
      </c>
      <c r="H257" t="s">
        <v>22</v>
      </c>
      <c r="I257" t="s">
        <v>23</v>
      </c>
      <c r="J257" t="s">
        <v>64</v>
      </c>
      <c r="K257" t="s">
        <v>80</v>
      </c>
      <c r="L257" t="s">
        <v>672</v>
      </c>
      <c r="M257" s="1">
        <v>8758.14</v>
      </c>
      <c r="N257">
        <v>9</v>
      </c>
      <c r="O257" s="2">
        <v>0.25</v>
      </c>
      <c r="P257" s="1">
        <v>-52.48</v>
      </c>
      <c r="Q257" t="s">
        <v>67</v>
      </c>
      <c r="R257" t="s">
        <v>28</v>
      </c>
    </row>
    <row r="258" spans="1:18" x14ac:dyDescent="0.3">
      <c r="A258">
        <v>1257</v>
      </c>
      <c r="B258" s="3">
        <v>45760</v>
      </c>
      <c r="C258" s="3">
        <v>45761</v>
      </c>
      <c r="D258" t="s">
        <v>673</v>
      </c>
      <c r="E258" t="s">
        <v>397</v>
      </c>
      <c r="F258" t="s">
        <v>31</v>
      </c>
      <c r="G258" t="s">
        <v>112</v>
      </c>
      <c r="H258" t="s">
        <v>113</v>
      </c>
      <c r="I258" t="s">
        <v>49</v>
      </c>
      <c r="J258" t="s">
        <v>24</v>
      </c>
      <c r="K258" t="s">
        <v>25</v>
      </c>
      <c r="L258" t="s">
        <v>674</v>
      </c>
      <c r="M258" s="1">
        <v>68015.58</v>
      </c>
      <c r="N258">
        <v>8</v>
      </c>
      <c r="O258" s="2">
        <v>0.05</v>
      </c>
      <c r="P258" s="1">
        <v>5229.6899999999996</v>
      </c>
      <c r="Q258" t="s">
        <v>52</v>
      </c>
      <c r="R258" t="s">
        <v>53</v>
      </c>
    </row>
    <row r="259" spans="1:18" x14ac:dyDescent="0.3">
      <c r="A259">
        <v>1258</v>
      </c>
      <c r="B259" s="3">
        <v>45885</v>
      </c>
      <c r="C259" s="3">
        <v>45889</v>
      </c>
      <c r="D259" t="s">
        <v>425</v>
      </c>
      <c r="E259" t="s">
        <v>675</v>
      </c>
      <c r="F259" t="s">
        <v>31</v>
      </c>
      <c r="G259" t="s">
        <v>56</v>
      </c>
      <c r="H259" t="s">
        <v>57</v>
      </c>
      <c r="I259" t="s">
        <v>58</v>
      </c>
      <c r="J259" t="s">
        <v>35</v>
      </c>
      <c r="K259" t="s">
        <v>59</v>
      </c>
      <c r="L259" t="s">
        <v>676</v>
      </c>
      <c r="M259" s="1">
        <v>79617.94</v>
      </c>
      <c r="N259">
        <v>8</v>
      </c>
      <c r="O259" s="2">
        <v>0.3</v>
      </c>
      <c r="P259" s="1">
        <v>8256.58</v>
      </c>
      <c r="Q259" t="s">
        <v>27</v>
      </c>
      <c r="R259" t="s">
        <v>120</v>
      </c>
    </row>
    <row r="260" spans="1:18" x14ac:dyDescent="0.3">
      <c r="A260">
        <v>1259</v>
      </c>
      <c r="B260" s="3">
        <v>45391</v>
      </c>
      <c r="C260" s="3">
        <v>45396</v>
      </c>
      <c r="D260" t="s">
        <v>677</v>
      </c>
      <c r="E260" t="s">
        <v>117</v>
      </c>
      <c r="F260" t="s">
        <v>31</v>
      </c>
      <c r="G260" t="s">
        <v>70</v>
      </c>
      <c r="H260" t="s">
        <v>71</v>
      </c>
      <c r="I260" t="s">
        <v>58</v>
      </c>
      <c r="J260" t="s">
        <v>35</v>
      </c>
      <c r="K260" t="s">
        <v>129</v>
      </c>
      <c r="L260" t="s">
        <v>678</v>
      </c>
      <c r="M260" s="1">
        <v>82351.25</v>
      </c>
      <c r="N260">
        <v>9</v>
      </c>
      <c r="O260" s="2">
        <v>0</v>
      </c>
      <c r="P260" s="1">
        <v>7114.79</v>
      </c>
      <c r="Q260" t="s">
        <v>67</v>
      </c>
      <c r="R260" t="s">
        <v>53</v>
      </c>
    </row>
    <row r="261" spans="1:18" x14ac:dyDescent="0.3">
      <c r="A261">
        <v>1260</v>
      </c>
      <c r="B261" s="3">
        <v>45808</v>
      </c>
      <c r="C261" s="3">
        <v>45812</v>
      </c>
      <c r="D261" t="s">
        <v>375</v>
      </c>
      <c r="E261" t="s">
        <v>387</v>
      </c>
      <c r="F261" t="s">
        <v>31</v>
      </c>
      <c r="G261" t="s">
        <v>102</v>
      </c>
      <c r="H261" t="s">
        <v>103</v>
      </c>
      <c r="I261" t="s">
        <v>58</v>
      </c>
      <c r="J261" t="s">
        <v>35</v>
      </c>
      <c r="K261" t="s">
        <v>59</v>
      </c>
      <c r="L261" t="s">
        <v>679</v>
      </c>
      <c r="M261" s="1">
        <v>79255.06</v>
      </c>
      <c r="N261">
        <v>7</v>
      </c>
      <c r="O261" s="2">
        <v>0.15</v>
      </c>
      <c r="P261" s="1">
        <v>14022.78</v>
      </c>
      <c r="Q261" t="s">
        <v>52</v>
      </c>
      <c r="R261" t="s">
        <v>120</v>
      </c>
    </row>
    <row r="262" spans="1:18" x14ac:dyDescent="0.3">
      <c r="A262">
        <v>1261</v>
      </c>
      <c r="B262" s="3">
        <v>45321</v>
      </c>
      <c r="C262" s="3">
        <v>45326</v>
      </c>
      <c r="D262" t="s">
        <v>680</v>
      </c>
      <c r="E262" t="s">
        <v>456</v>
      </c>
      <c r="F262" t="s">
        <v>31</v>
      </c>
      <c r="G262" t="s">
        <v>70</v>
      </c>
      <c r="H262" t="s">
        <v>71</v>
      </c>
      <c r="I262" t="s">
        <v>58</v>
      </c>
      <c r="J262" t="s">
        <v>35</v>
      </c>
      <c r="K262" t="s">
        <v>36</v>
      </c>
      <c r="L262" t="s">
        <v>681</v>
      </c>
      <c r="M262" s="1">
        <v>39302.83</v>
      </c>
      <c r="N262">
        <v>3</v>
      </c>
      <c r="O262" s="2">
        <v>0.2</v>
      </c>
      <c r="P262" s="1">
        <v>5365.12</v>
      </c>
      <c r="Q262" t="s">
        <v>27</v>
      </c>
      <c r="R262" t="s">
        <v>120</v>
      </c>
    </row>
    <row r="263" spans="1:18" x14ac:dyDescent="0.3">
      <c r="A263">
        <v>1262</v>
      </c>
      <c r="B263" s="3">
        <v>45324</v>
      </c>
      <c r="C263" s="3">
        <v>45326</v>
      </c>
      <c r="D263" t="s">
        <v>210</v>
      </c>
      <c r="E263" t="s">
        <v>682</v>
      </c>
      <c r="F263" t="s">
        <v>20</v>
      </c>
      <c r="G263" t="s">
        <v>56</v>
      </c>
      <c r="H263" t="s">
        <v>57</v>
      </c>
      <c r="I263" t="s">
        <v>58</v>
      </c>
      <c r="J263" t="s">
        <v>64</v>
      </c>
      <c r="K263" t="s">
        <v>188</v>
      </c>
      <c r="L263" t="s">
        <v>683</v>
      </c>
      <c r="M263" s="1">
        <v>8969.5</v>
      </c>
      <c r="N263">
        <v>1</v>
      </c>
      <c r="O263" s="2">
        <v>0.15</v>
      </c>
      <c r="P263" s="1">
        <v>1491.05</v>
      </c>
      <c r="Q263" t="s">
        <v>115</v>
      </c>
      <c r="R263" t="s">
        <v>120</v>
      </c>
    </row>
    <row r="264" spans="1:18" x14ac:dyDescent="0.3">
      <c r="A264">
        <v>1263</v>
      </c>
      <c r="B264" s="3">
        <v>45539</v>
      </c>
      <c r="C264" s="3">
        <v>45542</v>
      </c>
      <c r="D264" t="s">
        <v>684</v>
      </c>
      <c r="E264" t="s">
        <v>685</v>
      </c>
      <c r="F264" t="s">
        <v>46</v>
      </c>
      <c r="G264" t="s">
        <v>118</v>
      </c>
      <c r="H264" t="s">
        <v>118</v>
      </c>
      <c r="I264" t="s">
        <v>34</v>
      </c>
      <c r="J264" t="s">
        <v>35</v>
      </c>
      <c r="K264" t="s">
        <v>129</v>
      </c>
      <c r="L264" t="s">
        <v>686</v>
      </c>
      <c r="M264" s="1">
        <v>12558.53</v>
      </c>
      <c r="N264">
        <v>5</v>
      </c>
      <c r="O264" s="2">
        <v>0.2</v>
      </c>
      <c r="P264" s="1">
        <v>1099.08</v>
      </c>
      <c r="Q264" t="s">
        <v>74</v>
      </c>
      <c r="R264" t="s">
        <v>39</v>
      </c>
    </row>
    <row r="265" spans="1:18" x14ac:dyDescent="0.3">
      <c r="A265">
        <v>1264</v>
      </c>
      <c r="B265" s="3">
        <v>46006</v>
      </c>
      <c r="C265" s="3">
        <v>46011</v>
      </c>
      <c r="D265" t="s">
        <v>687</v>
      </c>
      <c r="E265" t="s">
        <v>504</v>
      </c>
      <c r="F265" t="s">
        <v>31</v>
      </c>
      <c r="G265" t="s">
        <v>107</v>
      </c>
      <c r="H265" t="s">
        <v>108</v>
      </c>
      <c r="I265" t="s">
        <v>34</v>
      </c>
      <c r="J265" t="s">
        <v>24</v>
      </c>
      <c r="K265" t="s">
        <v>72</v>
      </c>
      <c r="L265" t="s">
        <v>688</v>
      </c>
      <c r="M265" s="1">
        <v>72022.8</v>
      </c>
      <c r="N265">
        <v>10</v>
      </c>
      <c r="O265" s="2">
        <v>0</v>
      </c>
      <c r="P265" s="1">
        <v>9715.5</v>
      </c>
      <c r="Q265" t="s">
        <v>115</v>
      </c>
      <c r="R265" t="s">
        <v>53</v>
      </c>
    </row>
    <row r="266" spans="1:18" x14ac:dyDescent="0.3">
      <c r="A266">
        <v>1265</v>
      </c>
      <c r="B266" s="3">
        <v>45760</v>
      </c>
      <c r="C266" s="3">
        <v>45765</v>
      </c>
      <c r="D266" t="s">
        <v>689</v>
      </c>
      <c r="E266" t="s">
        <v>690</v>
      </c>
      <c r="F266" t="s">
        <v>46</v>
      </c>
      <c r="G266" t="s">
        <v>85</v>
      </c>
      <c r="H266" t="s">
        <v>86</v>
      </c>
      <c r="I266" t="s">
        <v>49</v>
      </c>
      <c r="J266" t="s">
        <v>24</v>
      </c>
      <c r="K266" t="s">
        <v>224</v>
      </c>
      <c r="L266" t="s">
        <v>691</v>
      </c>
      <c r="M266" s="1">
        <v>50785.72</v>
      </c>
      <c r="N266">
        <v>1</v>
      </c>
      <c r="O266" s="2">
        <v>0.15</v>
      </c>
      <c r="P266" s="1">
        <v>8426.18</v>
      </c>
      <c r="Q266" t="s">
        <v>61</v>
      </c>
      <c r="R266" t="s">
        <v>120</v>
      </c>
    </row>
    <row r="267" spans="1:18" x14ac:dyDescent="0.3">
      <c r="A267">
        <v>1266</v>
      </c>
      <c r="B267" s="3">
        <v>45970</v>
      </c>
      <c r="C267" s="3">
        <v>45975</v>
      </c>
      <c r="D267" t="s">
        <v>295</v>
      </c>
      <c r="E267" t="s">
        <v>69</v>
      </c>
      <c r="F267" t="s">
        <v>31</v>
      </c>
      <c r="G267" t="s">
        <v>90</v>
      </c>
      <c r="H267" t="s">
        <v>91</v>
      </c>
      <c r="I267" t="s">
        <v>23</v>
      </c>
      <c r="J267" t="s">
        <v>64</v>
      </c>
      <c r="K267" t="s">
        <v>65</v>
      </c>
      <c r="L267" t="s">
        <v>692</v>
      </c>
      <c r="M267" s="1">
        <v>32248.03</v>
      </c>
      <c r="N267">
        <v>2</v>
      </c>
      <c r="O267" s="2">
        <v>0.2</v>
      </c>
      <c r="P267" s="1">
        <v>4199</v>
      </c>
      <c r="Q267" t="s">
        <v>74</v>
      </c>
      <c r="R267" t="s">
        <v>120</v>
      </c>
    </row>
    <row r="268" spans="1:18" x14ac:dyDescent="0.3">
      <c r="A268">
        <v>1267</v>
      </c>
      <c r="B268" s="3">
        <v>45900</v>
      </c>
      <c r="C268" s="3">
        <v>45904</v>
      </c>
      <c r="D268" t="s">
        <v>540</v>
      </c>
      <c r="E268" t="s">
        <v>215</v>
      </c>
      <c r="F268" t="s">
        <v>20</v>
      </c>
      <c r="G268" t="s">
        <v>85</v>
      </c>
      <c r="H268" t="s">
        <v>86</v>
      </c>
      <c r="I268" t="s">
        <v>49</v>
      </c>
      <c r="J268" t="s">
        <v>64</v>
      </c>
      <c r="K268" t="s">
        <v>157</v>
      </c>
      <c r="L268" t="s">
        <v>693</v>
      </c>
      <c r="M268" s="1">
        <v>52097.67</v>
      </c>
      <c r="N268">
        <v>9</v>
      </c>
      <c r="O268" s="2">
        <v>0</v>
      </c>
      <c r="P268" s="1">
        <v>11428.67</v>
      </c>
      <c r="Q268" t="s">
        <v>52</v>
      </c>
      <c r="R268" t="s">
        <v>120</v>
      </c>
    </row>
    <row r="269" spans="1:18" x14ac:dyDescent="0.3">
      <c r="A269">
        <v>1268</v>
      </c>
      <c r="B269" s="3">
        <v>45786</v>
      </c>
      <c r="C269" s="3">
        <v>45790</v>
      </c>
      <c r="D269" t="s">
        <v>18</v>
      </c>
      <c r="E269" t="s">
        <v>694</v>
      </c>
      <c r="F269" t="s">
        <v>46</v>
      </c>
      <c r="G269" t="s">
        <v>118</v>
      </c>
      <c r="H269" t="s">
        <v>118</v>
      </c>
      <c r="I269" t="s">
        <v>34</v>
      </c>
      <c r="J269" t="s">
        <v>24</v>
      </c>
      <c r="K269" t="s">
        <v>50</v>
      </c>
      <c r="L269" t="s">
        <v>695</v>
      </c>
      <c r="M269" s="1">
        <v>50017.04</v>
      </c>
      <c r="N269">
        <v>3</v>
      </c>
      <c r="O269" s="2">
        <v>0</v>
      </c>
      <c r="P269" s="1">
        <v>5113.7</v>
      </c>
      <c r="Q269" t="s">
        <v>82</v>
      </c>
      <c r="R269" t="s">
        <v>53</v>
      </c>
    </row>
    <row r="270" spans="1:18" x14ac:dyDescent="0.3">
      <c r="A270">
        <v>1269</v>
      </c>
      <c r="B270" s="3">
        <v>45558</v>
      </c>
      <c r="C270" s="3">
        <v>45562</v>
      </c>
      <c r="D270" t="s">
        <v>696</v>
      </c>
      <c r="E270" t="s">
        <v>697</v>
      </c>
      <c r="F270" t="s">
        <v>20</v>
      </c>
      <c r="G270" t="s">
        <v>47</v>
      </c>
      <c r="H270" t="s">
        <v>48</v>
      </c>
      <c r="I270" t="s">
        <v>49</v>
      </c>
      <c r="J270" t="s">
        <v>35</v>
      </c>
      <c r="K270" t="s">
        <v>59</v>
      </c>
      <c r="L270" t="s">
        <v>698</v>
      </c>
      <c r="M270" s="1">
        <v>63974.71</v>
      </c>
      <c r="N270">
        <v>7</v>
      </c>
      <c r="O270" s="2">
        <v>0</v>
      </c>
      <c r="P270" s="1">
        <v>10696</v>
      </c>
      <c r="Q270" t="s">
        <v>38</v>
      </c>
      <c r="R270" t="s">
        <v>120</v>
      </c>
    </row>
    <row r="271" spans="1:18" x14ac:dyDescent="0.3">
      <c r="A271">
        <v>1270</v>
      </c>
      <c r="B271" s="3">
        <v>45642</v>
      </c>
      <c r="C271" s="3">
        <v>45648</v>
      </c>
      <c r="D271" t="s">
        <v>699</v>
      </c>
      <c r="E271" t="s">
        <v>394</v>
      </c>
      <c r="F271" t="s">
        <v>31</v>
      </c>
      <c r="G271" t="s">
        <v>47</v>
      </c>
      <c r="H271" t="s">
        <v>48</v>
      </c>
      <c r="I271" t="s">
        <v>49</v>
      </c>
      <c r="J271" t="s">
        <v>35</v>
      </c>
      <c r="K271" t="s">
        <v>42</v>
      </c>
      <c r="L271" t="s">
        <v>139</v>
      </c>
      <c r="M271" s="1">
        <v>51017.3</v>
      </c>
      <c r="N271">
        <v>4</v>
      </c>
      <c r="O271" s="2">
        <v>0</v>
      </c>
      <c r="P271" s="1">
        <v>11161.63</v>
      </c>
      <c r="Q271" t="s">
        <v>38</v>
      </c>
      <c r="R271" t="s">
        <v>120</v>
      </c>
    </row>
    <row r="272" spans="1:18" x14ac:dyDescent="0.3">
      <c r="A272">
        <v>1271</v>
      </c>
      <c r="B272" s="3">
        <v>45307</v>
      </c>
      <c r="C272" s="3">
        <v>45308</v>
      </c>
      <c r="D272" t="s">
        <v>700</v>
      </c>
      <c r="E272" t="s">
        <v>132</v>
      </c>
      <c r="F272" t="s">
        <v>20</v>
      </c>
      <c r="G272" t="s">
        <v>56</v>
      </c>
      <c r="H272" t="s">
        <v>57</v>
      </c>
      <c r="I272" t="s">
        <v>58</v>
      </c>
      <c r="J272" t="s">
        <v>64</v>
      </c>
      <c r="K272" t="s">
        <v>65</v>
      </c>
      <c r="L272" t="s">
        <v>701</v>
      </c>
      <c r="M272" s="1">
        <v>13327.8</v>
      </c>
      <c r="N272">
        <v>7</v>
      </c>
      <c r="O272" s="2">
        <v>0.1</v>
      </c>
      <c r="P272" s="1">
        <v>2773.62</v>
      </c>
      <c r="Q272" t="s">
        <v>27</v>
      </c>
      <c r="R272" t="s">
        <v>120</v>
      </c>
    </row>
    <row r="273" spans="1:18" x14ac:dyDescent="0.3">
      <c r="A273">
        <v>1272</v>
      </c>
      <c r="B273" s="3">
        <v>45929</v>
      </c>
      <c r="C273" s="3">
        <v>45934</v>
      </c>
      <c r="D273" t="s">
        <v>702</v>
      </c>
      <c r="E273" t="s">
        <v>319</v>
      </c>
      <c r="F273" t="s">
        <v>46</v>
      </c>
      <c r="G273" t="s">
        <v>95</v>
      </c>
      <c r="H273" t="s">
        <v>22</v>
      </c>
      <c r="I273" t="s">
        <v>23</v>
      </c>
      <c r="J273" t="s">
        <v>24</v>
      </c>
      <c r="K273" t="s">
        <v>224</v>
      </c>
      <c r="L273" t="s">
        <v>703</v>
      </c>
      <c r="M273" s="1">
        <v>35235.56</v>
      </c>
      <c r="N273">
        <v>8</v>
      </c>
      <c r="O273" s="2">
        <v>0.1</v>
      </c>
      <c r="P273" s="1">
        <v>7896.57</v>
      </c>
      <c r="Q273" t="s">
        <v>115</v>
      </c>
      <c r="R273" t="s">
        <v>28</v>
      </c>
    </row>
    <row r="274" spans="1:18" x14ac:dyDescent="0.3">
      <c r="A274">
        <v>1273</v>
      </c>
      <c r="B274" s="3">
        <v>45809</v>
      </c>
      <c r="C274" s="3">
        <v>45810</v>
      </c>
      <c r="D274" t="s">
        <v>704</v>
      </c>
      <c r="E274" t="s">
        <v>135</v>
      </c>
      <c r="F274" t="s">
        <v>46</v>
      </c>
      <c r="G274" t="s">
        <v>95</v>
      </c>
      <c r="H274" t="s">
        <v>22</v>
      </c>
      <c r="I274" t="s">
        <v>23</v>
      </c>
      <c r="J274" t="s">
        <v>35</v>
      </c>
      <c r="K274" t="s">
        <v>42</v>
      </c>
      <c r="L274" t="s">
        <v>705</v>
      </c>
      <c r="M274" s="1">
        <v>56752.98</v>
      </c>
      <c r="N274">
        <v>9</v>
      </c>
      <c r="O274" s="2">
        <v>0.05</v>
      </c>
      <c r="P274" s="1">
        <v>14529.67</v>
      </c>
      <c r="Q274" t="s">
        <v>74</v>
      </c>
      <c r="R274" t="s">
        <v>120</v>
      </c>
    </row>
    <row r="275" spans="1:18" x14ac:dyDescent="0.3">
      <c r="A275">
        <v>1274</v>
      </c>
      <c r="B275" s="3">
        <v>45613</v>
      </c>
      <c r="C275" s="3">
        <v>45618</v>
      </c>
      <c r="D275" t="s">
        <v>240</v>
      </c>
      <c r="E275" t="s">
        <v>706</v>
      </c>
      <c r="F275" t="s">
        <v>31</v>
      </c>
      <c r="G275" t="s">
        <v>47</v>
      </c>
      <c r="H275" t="s">
        <v>48</v>
      </c>
      <c r="I275" t="s">
        <v>49</v>
      </c>
      <c r="J275" t="s">
        <v>24</v>
      </c>
      <c r="K275" t="s">
        <v>72</v>
      </c>
      <c r="L275" t="s">
        <v>707</v>
      </c>
      <c r="M275" s="1">
        <v>14668.91</v>
      </c>
      <c r="N275">
        <v>5</v>
      </c>
      <c r="O275" s="2">
        <v>0.15</v>
      </c>
      <c r="P275" s="1">
        <v>411.55</v>
      </c>
      <c r="Q275" t="s">
        <v>74</v>
      </c>
      <c r="R275" t="s">
        <v>28</v>
      </c>
    </row>
    <row r="276" spans="1:18" x14ac:dyDescent="0.3">
      <c r="A276">
        <v>1275</v>
      </c>
      <c r="B276" s="3">
        <v>45705</v>
      </c>
      <c r="C276" s="3">
        <v>45711</v>
      </c>
      <c r="D276" t="s">
        <v>708</v>
      </c>
      <c r="E276" t="s">
        <v>268</v>
      </c>
      <c r="F276" t="s">
        <v>20</v>
      </c>
      <c r="G276" t="s">
        <v>118</v>
      </c>
      <c r="H276" t="s">
        <v>118</v>
      </c>
      <c r="I276" t="s">
        <v>34</v>
      </c>
      <c r="J276" t="s">
        <v>24</v>
      </c>
      <c r="K276" t="s">
        <v>50</v>
      </c>
      <c r="L276" t="s">
        <v>709</v>
      </c>
      <c r="M276" s="1">
        <v>79884.72</v>
      </c>
      <c r="N276">
        <v>8</v>
      </c>
      <c r="O276" s="2">
        <v>0.2</v>
      </c>
      <c r="P276" s="1">
        <v>15515.4</v>
      </c>
      <c r="Q276" t="s">
        <v>82</v>
      </c>
      <c r="R276" t="s">
        <v>28</v>
      </c>
    </row>
    <row r="277" spans="1:18" x14ac:dyDescent="0.3">
      <c r="A277">
        <v>1276</v>
      </c>
      <c r="B277" s="3">
        <v>45533</v>
      </c>
      <c r="C277" s="3">
        <v>45535</v>
      </c>
      <c r="D277" t="s">
        <v>618</v>
      </c>
      <c r="E277" t="s">
        <v>265</v>
      </c>
      <c r="F277" t="s">
        <v>31</v>
      </c>
      <c r="G277" t="s">
        <v>102</v>
      </c>
      <c r="H277" t="s">
        <v>103</v>
      </c>
      <c r="I277" t="s">
        <v>58</v>
      </c>
      <c r="J277" t="s">
        <v>24</v>
      </c>
      <c r="K277" t="s">
        <v>72</v>
      </c>
      <c r="L277" t="s">
        <v>710</v>
      </c>
      <c r="M277" s="1">
        <v>30914.75</v>
      </c>
      <c r="N277">
        <v>9</v>
      </c>
      <c r="O277" s="2">
        <v>0.05</v>
      </c>
      <c r="P277" s="1">
        <v>2492.13</v>
      </c>
      <c r="Q277" t="s">
        <v>74</v>
      </c>
      <c r="R277" t="s">
        <v>39</v>
      </c>
    </row>
    <row r="278" spans="1:18" x14ac:dyDescent="0.3">
      <c r="A278">
        <v>1277</v>
      </c>
      <c r="B278" s="3">
        <v>45351</v>
      </c>
      <c r="C278" s="3">
        <v>45355</v>
      </c>
      <c r="D278" t="s">
        <v>711</v>
      </c>
      <c r="E278" t="s">
        <v>191</v>
      </c>
      <c r="F278" t="s">
        <v>20</v>
      </c>
      <c r="G278" t="s">
        <v>107</v>
      </c>
      <c r="H278" t="s">
        <v>108</v>
      </c>
      <c r="I278" t="s">
        <v>34</v>
      </c>
      <c r="J278" t="s">
        <v>24</v>
      </c>
      <c r="K278" t="s">
        <v>212</v>
      </c>
      <c r="L278" t="s">
        <v>712</v>
      </c>
      <c r="M278" s="1">
        <v>3046.65</v>
      </c>
      <c r="N278">
        <v>3</v>
      </c>
      <c r="O278" s="2">
        <v>0</v>
      </c>
      <c r="P278" s="1">
        <v>550.19000000000005</v>
      </c>
      <c r="Q278" t="s">
        <v>27</v>
      </c>
      <c r="R278" t="s">
        <v>39</v>
      </c>
    </row>
    <row r="279" spans="1:18" x14ac:dyDescent="0.3">
      <c r="A279">
        <v>1278</v>
      </c>
      <c r="B279" s="3">
        <v>45402</v>
      </c>
      <c r="C279" s="3">
        <v>45406</v>
      </c>
      <c r="D279" t="s">
        <v>563</v>
      </c>
      <c r="E279" t="s">
        <v>434</v>
      </c>
      <c r="F279" t="s">
        <v>20</v>
      </c>
      <c r="G279" t="s">
        <v>102</v>
      </c>
      <c r="H279" t="s">
        <v>103</v>
      </c>
      <c r="I279" t="s">
        <v>58</v>
      </c>
      <c r="J279" t="s">
        <v>35</v>
      </c>
      <c r="K279" t="s">
        <v>42</v>
      </c>
      <c r="L279" t="s">
        <v>713</v>
      </c>
      <c r="M279" s="1">
        <v>45434.53</v>
      </c>
      <c r="N279">
        <v>6</v>
      </c>
      <c r="O279" s="2">
        <v>0.2</v>
      </c>
      <c r="P279" s="1">
        <v>3846.53</v>
      </c>
      <c r="Q279" t="s">
        <v>52</v>
      </c>
      <c r="R279" t="s">
        <v>39</v>
      </c>
    </row>
    <row r="280" spans="1:18" x14ac:dyDescent="0.3">
      <c r="A280">
        <v>1279</v>
      </c>
      <c r="B280" s="3">
        <v>45895</v>
      </c>
      <c r="C280" s="3">
        <v>45900</v>
      </c>
      <c r="D280" t="s">
        <v>615</v>
      </c>
      <c r="E280" t="s">
        <v>106</v>
      </c>
      <c r="F280" t="s">
        <v>46</v>
      </c>
      <c r="G280" t="s">
        <v>118</v>
      </c>
      <c r="H280" t="s">
        <v>118</v>
      </c>
      <c r="I280" t="s">
        <v>34</v>
      </c>
      <c r="J280" t="s">
        <v>64</v>
      </c>
      <c r="K280" t="s">
        <v>80</v>
      </c>
      <c r="L280" t="s">
        <v>714</v>
      </c>
      <c r="M280" s="1">
        <v>68196.160000000003</v>
      </c>
      <c r="N280">
        <v>8</v>
      </c>
      <c r="O280" s="2">
        <v>0</v>
      </c>
      <c r="P280" s="1">
        <v>15674.24</v>
      </c>
      <c r="Q280" t="s">
        <v>27</v>
      </c>
      <c r="R280" t="s">
        <v>53</v>
      </c>
    </row>
    <row r="281" spans="1:18" x14ac:dyDescent="0.3">
      <c r="A281">
        <v>1280</v>
      </c>
      <c r="B281" s="3">
        <v>45355</v>
      </c>
      <c r="C281" s="3">
        <v>45361</v>
      </c>
      <c r="D281" t="s">
        <v>708</v>
      </c>
      <c r="E281" t="s">
        <v>498</v>
      </c>
      <c r="F281" t="s">
        <v>31</v>
      </c>
      <c r="G281" t="s">
        <v>118</v>
      </c>
      <c r="H281" t="s">
        <v>118</v>
      </c>
      <c r="I281" t="s">
        <v>34</v>
      </c>
      <c r="J281" t="s">
        <v>64</v>
      </c>
      <c r="K281" t="s">
        <v>80</v>
      </c>
      <c r="L281" t="s">
        <v>715</v>
      </c>
      <c r="M281" s="1">
        <v>79171.649999999994</v>
      </c>
      <c r="N281">
        <v>2</v>
      </c>
      <c r="O281" s="2">
        <v>0.3</v>
      </c>
      <c r="P281" s="1">
        <v>6536.14</v>
      </c>
      <c r="Q281" t="s">
        <v>61</v>
      </c>
      <c r="R281" t="s">
        <v>120</v>
      </c>
    </row>
    <row r="282" spans="1:18" x14ac:dyDescent="0.3">
      <c r="A282">
        <v>1281</v>
      </c>
      <c r="B282" s="3">
        <v>45857</v>
      </c>
      <c r="C282" s="3">
        <v>45863</v>
      </c>
      <c r="D282" t="s">
        <v>580</v>
      </c>
      <c r="E282" t="s">
        <v>516</v>
      </c>
      <c r="F282" t="s">
        <v>46</v>
      </c>
      <c r="G282" t="s">
        <v>118</v>
      </c>
      <c r="H282" t="s">
        <v>118</v>
      </c>
      <c r="I282" t="s">
        <v>34</v>
      </c>
      <c r="J282" t="s">
        <v>24</v>
      </c>
      <c r="K282" t="s">
        <v>50</v>
      </c>
      <c r="L282" t="s">
        <v>716</v>
      </c>
      <c r="M282" s="1">
        <v>40418.25</v>
      </c>
      <c r="N282">
        <v>5</v>
      </c>
      <c r="O282" s="2">
        <v>0.2</v>
      </c>
      <c r="P282" s="1">
        <v>4522.6400000000003</v>
      </c>
      <c r="Q282" t="s">
        <v>82</v>
      </c>
      <c r="R282" t="s">
        <v>28</v>
      </c>
    </row>
    <row r="283" spans="1:18" x14ac:dyDescent="0.3">
      <c r="A283">
        <v>1282</v>
      </c>
      <c r="B283" s="3">
        <v>45342</v>
      </c>
      <c r="C283" s="3">
        <v>45345</v>
      </c>
      <c r="D283" t="s">
        <v>704</v>
      </c>
      <c r="E283" t="s">
        <v>717</v>
      </c>
      <c r="F283" t="s">
        <v>31</v>
      </c>
      <c r="G283" t="s">
        <v>90</v>
      </c>
      <c r="H283" t="s">
        <v>91</v>
      </c>
      <c r="I283" t="s">
        <v>23</v>
      </c>
      <c r="J283" t="s">
        <v>35</v>
      </c>
      <c r="K283" t="s">
        <v>129</v>
      </c>
      <c r="L283" t="s">
        <v>718</v>
      </c>
      <c r="M283" s="1">
        <v>58406.28</v>
      </c>
      <c r="N283">
        <v>1</v>
      </c>
      <c r="O283" s="2">
        <v>0</v>
      </c>
      <c r="P283" s="1">
        <v>9254.32</v>
      </c>
      <c r="Q283" t="s">
        <v>115</v>
      </c>
      <c r="R283" t="s">
        <v>53</v>
      </c>
    </row>
    <row r="284" spans="1:18" x14ac:dyDescent="0.3">
      <c r="A284">
        <v>1283</v>
      </c>
      <c r="B284" s="3">
        <v>45639</v>
      </c>
      <c r="C284" s="3">
        <v>45640</v>
      </c>
      <c r="D284" t="s">
        <v>621</v>
      </c>
      <c r="E284" t="s">
        <v>719</v>
      </c>
      <c r="F284" t="s">
        <v>31</v>
      </c>
      <c r="G284" t="s">
        <v>118</v>
      </c>
      <c r="H284" t="s">
        <v>118</v>
      </c>
      <c r="I284" t="s">
        <v>34</v>
      </c>
      <c r="J284" t="s">
        <v>35</v>
      </c>
      <c r="K284" t="s">
        <v>59</v>
      </c>
      <c r="L284" t="s">
        <v>720</v>
      </c>
      <c r="M284" s="1">
        <v>23336.17</v>
      </c>
      <c r="N284">
        <v>2</v>
      </c>
      <c r="O284" s="2">
        <v>0.15</v>
      </c>
      <c r="P284" s="1">
        <v>3717.92</v>
      </c>
      <c r="Q284" t="s">
        <v>52</v>
      </c>
      <c r="R284" t="s">
        <v>53</v>
      </c>
    </row>
    <row r="285" spans="1:18" x14ac:dyDescent="0.3">
      <c r="A285">
        <v>1284</v>
      </c>
      <c r="B285" s="3">
        <v>45916</v>
      </c>
      <c r="C285" s="3">
        <v>45917</v>
      </c>
      <c r="D285" t="s">
        <v>721</v>
      </c>
      <c r="E285" t="s">
        <v>349</v>
      </c>
      <c r="F285" t="s">
        <v>46</v>
      </c>
      <c r="G285" t="s">
        <v>112</v>
      </c>
      <c r="H285" t="s">
        <v>113</v>
      </c>
      <c r="I285" t="s">
        <v>49</v>
      </c>
      <c r="J285" t="s">
        <v>24</v>
      </c>
      <c r="K285" t="s">
        <v>25</v>
      </c>
      <c r="L285" t="s">
        <v>722</v>
      </c>
      <c r="M285" s="1">
        <v>18106.46</v>
      </c>
      <c r="N285">
        <v>2</v>
      </c>
      <c r="O285" s="2">
        <v>0.25</v>
      </c>
      <c r="P285" s="1">
        <v>1901.03</v>
      </c>
      <c r="Q285" t="s">
        <v>115</v>
      </c>
      <c r="R285" t="s">
        <v>28</v>
      </c>
    </row>
    <row r="286" spans="1:18" x14ac:dyDescent="0.3">
      <c r="A286">
        <v>1285</v>
      </c>
      <c r="B286" s="3">
        <v>45603</v>
      </c>
      <c r="C286" s="3">
        <v>45609</v>
      </c>
      <c r="D286" t="s">
        <v>251</v>
      </c>
      <c r="E286" t="s">
        <v>723</v>
      </c>
      <c r="F286" t="s">
        <v>31</v>
      </c>
      <c r="G286" t="s">
        <v>95</v>
      </c>
      <c r="H286" t="s">
        <v>22</v>
      </c>
      <c r="I286" t="s">
        <v>23</v>
      </c>
      <c r="J286" t="s">
        <v>24</v>
      </c>
      <c r="K286" t="s">
        <v>212</v>
      </c>
      <c r="L286" t="s">
        <v>724</v>
      </c>
      <c r="M286" s="1">
        <v>41089.370000000003</v>
      </c>
      <c r="N286">
        <v>3</v>
      </c>
      <c r="O286" s="2">
        <v>0.05</v>
      </c>
      <c r="P286" s="1">
        <v>3761.23</v>
      </c>
      <c r="Q286" t="s">
        <v>74</v>
      </c>
      <c r="R286" t="s">
        <v>28</v>
      </c>
    </row>
    <row r="287" spans="1:18" x14ac:dyDescent="0.3">
      <c r="A287">
        <v>1286</v>
      </c>
      <c r="B287" s="3">
        <v>45905</v>
      </c>
      <c r="C287" s="3">
        <v>45910</v>
      </c>
      <c r="D287" t="s">
        <v>725</v>
      </c>
      <c r="E287" t="s">
        <v>444</v>
      </c>
      <c r="F287" t="s">
        <v>20</v>
      </c>
      <c r="G287" t="s">
        <v>118</v>
      </c>
      <c r="H287" t="s">
        <v>118</v>
      </c>
      <c r="I287" t="s">
        <v>34</v>
      </c>
      <c r="J287" t="s">
        <v>64</v>
      </c>
      <c r="K287" t="s">
        <v>188</v>
      </c>
      <c r="L287" t="s">
        <v>726</v>
      </c>
      <c r="M287" s="1">
        <v>69000.149999999994</v>
      </c>
      <c r="N287">
        <v>10</v>
      </c>
      <c r="O287" s="2">
        <v>0.05</v>
      </c>
      <c r="P287" s="1">
        <v>9580.42</v>
      </c>
      <c r="Q287" t="s">
        <v>27</v>
      </c>
      <c r="R287" t="s">
        <v>53</v>
      </c>
    </row>
    <row r="288" spans="1:18" x14ac:dyDescent="0.3">
      <c r="A288">
        <v>1287</v>
      </c>
      <c r="B288" s="3">
        <v>45528</v>
      </c>
      <c r="C288" s="3">
        <v>45532</v>
      </c>
      <c r="D288" t="s">
        <v>318</v>
      </c>
      <c r="E288" t="s">
        <v>194</v>
      </c>
      <c r="F288" t="s">
        <v>31</v>
      </c>
      <c r="G288" t="s">
        <v>107</v>
      </c>
      <c r="H288" t="s">
        <v>108</v>
      </c>
      <c r="I288" t="s">
        <v>34</v>
      </c>
      <c r="J288" t="s">
        <v>24</v>
      </c>
      <c r="K288" t="s">
        <v>72</v>
      </c>
      <c r="L288" t="s">
        <v>727</v>
      </c>
      <c r="M288" s="1">
        <v>19993.86</v>
      </c>
      <c r="N288">
        <v>4</v>
      </c>
      <c r="O288" s="2">
        <v>0.3</v>
      </c>
      <c r="P288" s="1">
        <v>-796.32</v>
      </c>
      <c r="Q288" t="s">
        <v>52</v>
      </c>
      <c r="R288" t="s">
        <v>28</v>
      </c>
    </row>
    <row r="289" spans="1:18" x14ac:dyDescent="0.3">
      <c r="A289">
        <v>1288</v>
      </c>
      <c r="B289" s="3">
        <v>45387</v>
      </c>
      <c r="C289" s="3">
        <v>45389</v>
      </c>
      <c r="D289" t="s">
        <v>210</v>
      </c>
      <c r="E289" t="s">
        <v>728</v>
      </c>
      <c r="F289" t="s">
        <v>31</v>
      </c>
      <c r="G289" t="s">
        <v>32</v>
      </c>
      <c r="H289" t="s">
        <v>33</v>
      </c>
      <c r="I289" t="s">
        <v>34</v>
      </c>
      <c r="J289" t="s">
        <v>24</v>
      </c>
      <c r="K289" t="s">
        <v>25</v>
      </c>
      <c r="L289" t="s">
        <v>729</v>
      </c>
      <c r="M289" s="1">
        <v>73289.83</v>
      </c>
      <c r="N289">
        <v>3</v>
      </c>
      <c r="O289" s="2">
        <v>0.15</v>
      </c>
      <c r="P289" s="1">
        <v>5888.6</v>
      </c>
      <c r="Q289" t="s">
        <v>61</v>
      </c>
      <c r="R289" t="s">
        <v>53</v>
      </c>
    </row>
    <row r="290" spans="1:18" x14ac:dyDescent="0.3">
      <c r="A290">
        <v>1289</v>
      </c>
      <c r="B290" s="3">
        <v>45841</v>
      </c>
      <c r="C290" s="3">
        <v>45845</v>
      </c>
      <c r="D290" t="s">
        <v>429</v>
      </c>
      <c r="E290" t="s">
        <v>730</v>
      </c>
      <c r="F290" t="s">
        <v>46</v>
      </c>
      <c r="G290" t="s">
        <v>85</v>
      </c>
      <c r="H290" t="s">
        <v>86</v>
      </c>
      <c r="I290" t="s">
        <v>49</v>
      </c>
      <c r="J290" t="s">
        <v>64</v>
      </c>
      <c r="K290" t="s">
        <v>188</v>
      </c>
      <c r="L290" t="s">
        <v>731</v>
      </c>
      <c r="M290" s="1">
        <v>76146.36</v>
      </c>
      <c r="N290">
        <v>8</v>
      </c>
      <c r="O290" s="2">
        <v>0.05</v>
      </c>
      <c r="P290" s="1">
        <v>10620.74</v>
      </c>
      <c r="Q290" t="s">
        <v>82</v>
      </c>
      <c r="R290" t="s">
        <v>28</v>
      </c>
    </row>
    <row r="291" spans="1:18" x14ac:dyDescent="0.3">
      <c r="A291">
        <v>1290</v>
      </c>
      <c r="B291" s="3">
        <v>45528</v>
      </c>
      <c r="C291" s="3">
        <v>45529</v>
      </c>
      <c r="D291" t="s">
        <v>732</v>
      </c>
      <c r="E291" t="s">
        <v>733</v>
      </c>
      <c r="F291" t="s">
        <v>20</v>
      </c>
      <c r="G291" t="s">
        <v>107</v>
      </c>
      <c r="H291" t="s">
        <v>108</v>
      </c>
      <c r="I291" t="s">
        <v>34</v>
      </c>
      <c r="J291" t="s">
        <v>24</v>
      </c>
      <c r="K291" t="s">
        <v>212</v>
      </c>
      <c r="L291" t="s">
        <v>734</v>
      </c>
      <c r="M291" s="1">
        <v>28644.54</v>
      </c>
      <c r="N291">
        <v>6</v>
      </c>
      <c r="O291" s="2">
        <v>0.3</v>
      </c>
      <c r="P291" s="1">
        <v>2512.11</v>
      </c>
      <c r="Q291" t="s">
        <v>52</v>
      </c>
      <c r="R291" t="s">
        <v>53</v>
      </c>
    </row>
    <row r="292" spans="1:18" x14ac:dyDescent="0.3">
      <c r="A292">
        <v>1291</v>
      </c>
      <c r="B292" s="3">
        <v>45505</v>
      </c>
      <c r="C292" s="3">
        <v>45509</v>
      </c>
      <c r="D292" t="s">
        <v>735</v>
      </c>
      <c r="E292" t="s">
        <v>730</v>
      </c>
      <c r="F292" t="s">
        <v>31</v>
      </c>
      <c r="G292" t="s">
        <v>21</v>
      </c>
      <c r="H292" t="s">
        <v>22</v>
      </c>
      <c r="I292" t="s">
        <v>23</v>
      </c>
      <c r="J292" t="s">
        <v>35</v>
      </c>
      <c r="K292" t="s">
        <v>59</v>
      </c>
      <c r="L292" t="s">
        <v>736</v>
      </c>
      <c r="M292" s="1">
        <v>44068.47</v>
      </c>
      <c r="N292">
        <v>4</v>
      </c>
      <c r="O292" s="2">
        <v>0.15</v>
      </c>
      <c r="P292" s="1">
        <v>10456.959999999999</v>
      </c>
      <c r="Q292" t="s">
        <v>115</v>
      </c>
      <c r="R292" t="s">
        <v>120</v>
      </c>
    </row>
    <row r="293" spans="1:18" x14ac:dyDescent="0.3">
      <c r="A293">
        <v>1292</v>
      </c>
      <c r="B293" s="3">
        <v>45437</v>
      </c>
      <c r="C293" s="3">
        <v>45439</v>
      </c>
      <c r="D293" t="s">
        <v>423</v>
      </c>
      <c r="E293" t="s">
        <v>737</v>
      </c>
      <c r="F293" t="s">
        <v>31</v>
      </c>
      <c r="G293" t="s">
        <v>118</v>
      </c>
      <c r="H293" t="s">
        <v>118</v>
      </c>
      <c r="I293" t="s">
        <v>34</v>
      </c>
      <c r="J293" t="s">
        <v>24</v>
      </c>
      <c r="K293" t="s">
        <v>224</v>
      </c>
      <c r="L293" t="s">
        <v>738</v>
      </c>
      <c r="M293" s="1">
        <v>19764.29</v>
      </c>
      <c r="N293">
        <v>1</v>
      </c>
      <c r="O293" s="2">
        <v>0.3</v>
      </c>
      <c r="P293" s="1">
        <v>-520.44000000000005</v>
      </c>
      <c r="Q293" t="s">
        <v>52</v>
      </c>
      <c r="R293" t="s">
        <v>120</v>
      </c>
    </row>
    <row r="294" spans="1:18" x14ac:dyDescent="0.3">
      <c r="A294">
        <v>1293</v>
      </c>
      <c r="B294" s="3">
        <v>45618</v>
      </c>
      <c r="C294" s="3">
        <v>45622</v>
      </c>
      <c r="D294" t="s">
        <v>739</v>
      </c>
      <c r="E294" t="s">
        <v>740</v>
      </c>
      <c r="F294" t="s">
        <v>31</v>
      </c>
      <c r="G294" t="s">
        <v>118</v>
      </c>
      <c r="H294" t="s">
        <v>118</v>
      </c>
      <c r="I294" t="s">
        <v>34</v>
      </c>
      <c r="J294" t="s">
        <v>35</v>
      </c>
      <c r="K294" t="s">
        <v>42</v>
      </c>
      <c r="L294" t="s">
        <v>741</v>
      </c>
      <c r="M294" s="1">
        <v>12265.44</v>
      </c>
      <c r="N294">
        <v>3</v>
      </c>
      <c r="O294" s="2">
        <v>0.25</v>
      </c>
      <c r="P294" s="1">
        <v>1041.26</v>
      </c>
      <c r="Q294" t="s">
        <v>67</v>
      </c>
      <c r="R294" t="s">
        <v>28</v>
      </c>
    </row>
    <row r="295" spans="1:18" x14ac:dyDescent="0.3">
      <c r="A295">
        <v>1294</v>
      </c>
      <c r="B295" s="3">
        <v>45508</v>
      </c>
      <c r="C295" s="3">
        <v>45514</v>
      </c>
      <c r="D295" t="s">
        <v>29</v>
      </c>
      <c r="E295" t="s">
        <v>742</v>
      </c>
      <c r="F295" t="s">
        <v>20</v>
      </c>
      <c r="G295" t="s">
        <v>47</v>
      </c>
      <c r="H295" t="s">
        <v>48</v>
      </c>
      <c r="I295" t="s">
        <v>49</v>
      </c>
      <c r="J295" t="s">
        <v>64</v>
      </c>
      <c r="K295" t="s">
        <v>188</v>
      </c>
      <c r="L295" t="s">
        <v>743</v>
      </c>
      <c r="M295" s="1">
        <v>70314.429999999993</v>
      </c>
      <c r="N295">
        <v>1</v>
      </c>
      <c r="O295" s="2">
        <v>0.3</v>
      </c>
      <c r="P295" s="1">
        <v>-2021.26</v>
      </c>
      <c r="Q295" t="s">
        <v>67</v>
      </c>
      <c r="R295" t="s">
        <v>39</v>
      </c>
    </row>
    <row r="296" spans="1:18" x14ac:dyDescent="0.3">
      <c r="A296">
        <v>1295</v>
      </c>
      <c r="B296" s="3">
        <v>45735</v>
      </c>
      <c r="C296" s="3">
        <v>45737</v>
      </c>
      <c r="D296" t="s">
        <v>251</v>
      </c>
      <c r="E296" t="s">
        <v>149</v>
      </c>
      <c r="F296" t="s">
        <v>31</v>
      </c>
      <c r="G296" t="s">
        <v>47</v>
      </c>
      <c r="H296" t="s">
        <v>48</v>
      </c>
      <c r="I296" t="s">
        <v>49</v>
      </c>
      <c r="J296" t="s">
        <v>35</v>
      </c>
      <c r="K296" t="s">
        <v>42</v>
      </c>
      <c r="L296" t="s">
        <v>744</v>
      </c>
      <c r="M296" s="1">
        <v>72886.05</v>
      </c>
      <c r="N296">
        <v>6</v>
      </c>
      <c r="O296" s="2">
        <v>0.1</v>
      </c>
      <c r="P296" s="1">
        <v>15168.19</v>
      </c>
      <c r="Q296" t="s">
        <v>115</v>
      </c>
      <c r="R296" t="s">
        <v>28</v>
      </c>
    </row>
    <row r="297" spans="1:18" x14ac:dyDescent="0.3">
      <c r="A297">
        <v>1296</v>
      </c>
      <c r="B297" s="3">
        <v>45912</v>
      </c>
      <c r="C297" s="3">
        <v>45916</v>
      </c>
      <c r="D297" t="s">
        <v>223</v>
      </c>
      <c r="E297" t="s">
        <v>362</v>
      </c>
      <c r="F297" t="s">
        <v>46</v>
      </c>
      <c r="G297" t="s">
        <v>112</v>
      </c>
      <c r="H297" t="s">
        <v>113</v>
      </c>
      <c r="I297" t="s">
        <v>49</v>
      </c>
      <c r="J297" t="s">
        <v>64</v>
      </c>
      <c r="K297" t="s">
        <v>157</v>
      </c>
      <c r="L297" t="s">
        <v>745</v>
      </c>
      <c r="M297" s="1">
        <v>46274.61</v>
      </c>
      <c r="N297">
        <v>2</v>
      </c>
      <c r="O297" s="2">
        <v>0.2</v>
      </c>
      <c r="P297" s="1">
        <v>4243.5600000000004</v>
      </c>
      <c r="Q297" t="s">
        <v>27</v>
      </c>
      <c r="R297" t="s">
        <v>53</v>
      </c>
    </row>
    <row r="298" spans="1:18" x14ac:dyDescent="0.3">
      <c r="A298">
        <v>1297</v>
      </c>
      <c r="B298" s="3">
        <v>45830</v>
      </c>
      <c r="C298" s="3">
        <v>45834</v>
      </c>
      <c r="D298" t="s">
        <v>151</v>
      </c>
      <c r="E298" t="s">
        <v>592</v>
      </c>
      <c r="F298" t="s">
        <v>31</v>
      </c>
      <c r="G298" t="s">
        <v>85</v>
      </c>
      <c r="H298" t="s">
        <v>86</v>
      </c>
      <c r="I298" t="s">
        <v>49</v>
      </c>
      <c r="J298" t="s">
        <v>24</v>
      </c>
      <c r="K298" t="s">
        <v>224</v>
      </c>
      <c r="L298" t="s">
        <v>746</v>
      </c>
      <c r="M298" s="1">
        <v>39846.31</v>
      </c>
      <c r="N298">
        <v>5</v>
      </c>
      <c r="O298" s="2">
        <v>0.3</v>
      </c>
      <c r="P298" s="1">
        <v>1638.44</v>
      </c>
      <c r="Q298" t="s">
        <v>74</v>
      </c>
      <c r="R298" t="s">
        <v>28</v>
      </c>
    </row>
    <row r="299" spans="1:18" x14ac:dyDescent="0.3">
      <c r="A299">
        <v>1298</v>
      </c>
      <c r="B299" s="3">
        <v>45818</v>
      </c>
      <c r="C299" s="3">
        <v>45821</v>
      </c>
      <c r="D299" t="s">
        <v>140</v>
      </c>
      <c r="E299" t="s">
        <v>194</v>
      </c>
      <c r="F299" t="s">
        <v>20</v>
      </c>
      <c r="G299" t="s">
        <v>56</v>
      </c>
      <c r="H299" t="s">
        <v>57</v>
      </c>
      <c r="I299" t="s">
        <v>58</v>
      </c>
      <c r="J299" t="s">
        <v>35</v>
      </c>
      <c r="K299" t="s">
        <v>36</v>
      </c>
      <c r="L299" t="s">
        <v>747</v>
      </c>
      <c r="M299" s="1">
        <v>5715.03</v>
      </c>
      <c r="N299">
        <v>1</v>
      </c>
      <c r="O299" s="2">
        <v>0.05</v>
      </c>
      <c r="P299" s="1">
        <v>516.34</v>
      </c>
      <c r="Q299" t="s">
        <v>82</v>
      </c>
      <c r="R299" t="s">
        <v>39</v>
      </c>
    </row>
    <row r="300" spans="1:18" x14ac:dyDescent="0.3">
      <c r="A300">
        <v>1299</v>
      </c>
      <c r="B300" s="3">
        <v>45665</v>
      </c>
      <c r="C300" s="3">
        <v>45670</v>
      </c>
      <c r="D300" t="s">
        <v>259</v>
      </c>
      <c r="E300" t="s">
        <v>748</v>
      </c>
      <c r="F300" t="s">
        <v>31</v>
      </c>
      <c r="G300" t="s">
        <v>95</v>
      </c>
      <c r="H300" t="s">
        <v>22</v>
      </c>
      <c r="I300" t="s">
        <v>23</v>
      </c>
      <c r="J300" t="s">
        <v>35</v>
      </c>
      <c r="K300" t="s">
        <v>59</v>
      </c>
      <c r="L300" t="s">
        <v>749</v>
      </c>
      <c r="M300" s="1">
        <v>87427.37</v>
      </c>
      <c r="N300">
        <v>7</v>
      </c>
      <c r="O300" s="2">
        <v>0.2</v>
      </c>
      <c r="P300" s="1">
        <v>16209.3</v>
      </c>
      <c r="Q300" t="s">
        <v>67</v>
      </c>
      <c r="R300" t="s">
        <v>28</v>
      </c>
    </row>
    <row r="301" spans="1:18" x14ac:dyDescent="0.3">
      <c r="A301">
        <v>1300</v>
      </c>
      <c r="B301" s="3">
        <v>45995</v>
      </c>
      <c r="C301" s="3">
        <v>46000</v>
      </c>
      <c r="D301" t="s">
        <v>643</v>
      </c>
      <c r="E301" t="s">
        <v>146</v>
      </c>
      <c r="F301" t="s">
        <v>20</v>
      </c>
      <c r="G301" t="s">
        <v>47</v>
      </c>
      <c r="H301" t="s">
        <v>48</v>
      </c>
      <c r="I301" t="s">
        <v>49</v>
      </c>
      <c r="J301" t="s">
        <v>64</v>
      </c>
      <c r="K301" t="s">
        <v>157</v>
      </c>
      <c r="L301" t="s">
        <v>750</v>
      </c>
      <c r="M301" s="1">
        <v>2130.59</v>
      </c>
      <c r="N301">
        <v>5</v>
      </c>
      <c r="O301" s="2">
        <v>0.15</v>
      </c>
      <c r="P301" s="1">
        <v>480.62</v>
      </c>
      <c r="Q301" t="s">
        <v>52</v>
      </c>
      <c r="R301" t="s">
        <v>39</v>
      </c>
    </row>
    <row r="302" spans="1:18" x14ac:dyDescent="0.3">
      <c r="A302">
        <v>1301</v>
      </c>
      <c r="B302" s="3">
        <v>45822</v>
      </c>
      <c r="C302" s="3">
        <v>45826</v>
      </c>
      <c r="D302" t="s">
        <v>751</v>
      </c>
      <c r="E302" t="s">
        <v>197</v>
      </c>
      <c r="F302" t="s">
        <v>31</v>
      </c>
      <c r="G302" t="s">
        <v>107</v>
      </c>
      <c r="H302" t="s">
        <v>108</v>
      </c>
      <c r="I302" t="s">
        <v>34</v>
      </c>
      <c r="J302" t="s">
        <v>64</v>
      </c>
      <c r="K302" t="s">
        <v>157</v>
      </c>
      <c r="L302" t="s">
        <v>752</v>
      </c>
      <c r="M302" s="1">
        <v>64375.41</v>
      </c>
      <c r="N302">
        <v>9</v>
      </c>
      <c r="O302" s="2">
        <v>0.25</v>
      </c>
      <c r="P302" s="1">
        <v>7410.2</v>
      </c>
      <c r="Q302" t="s">
        <v>67</v>
      </c>
      <c r="R302" t="s">
        <v>39</v>
      </c>
    </row>
    <row r="303" spans="1:18" x14ac:dyDescent="0.3">
      <c r="A303">
        <v>1302</v>
      </c>
      <c r="B303" s="3">
        <v>45593</v>
      </c>
      <c r="C303" s="3">
        <v>45596</v>
      </c>
      <c r="D303" t="s">
        <v>97</v>
      </c>
      <c r="E303" t="s">
        <v>733</v>
      </c>
      <c r="F303" t="s">
        <v>20</v>
      </c>
      <c r="G303" t="s">
        <v>85</v>
      </c>
      <c r="H303" t="s">
        <v>86</v>
      </c>
      <c r="I303" t="s">
        <v>49</v>
      </c>
      <c r="J303" t="s">
        <v>24</v>
      </c>
      <c r="K303" t="s">
        <v>50</v>
      </c>
      <c r="L303" t="s">
        <v>753</v>
      </c>
      <c r="M303" s="1">
        <v>9051</v>
      </c>
      <c r="N303">
        <v>2</v>
      </c>
      <c r="O303" s="2">
        <v>0.05</v>
      </c>
      <c r="P303" s="1">
        <v>1920.89</v>
      </c>
      <c r="Q303" t="s">
        <v>82</v>
      </c>
      <c r="R303" t="s">
        <v>53</v>
      </c>
    </row>
    <row r="304" spans="1:18" x14ac:dyDescent="0.3">
      <c r="A304">
        <v>1303</v>
      </c>
      <c r="B304" s="3">
        <v>45771</v>
      </c>
      <c r="C304" s="3">
        <v>45776</v>
      </c>
      <c r="D304" t="s">
        <v>234</v>
      </c>
      <c r="E304" t="s">
        <v>754</v>
      </c>
      <c r="F304" t="s">
        <v>46</v>
      </c>
      <c r="G304" t="s">
        <v>118</v>
      </c>
      <c r="H304" t="s">
        <v>118</v>
      </c>
      <c r="I304" t="s">
        <v>34</v>
      </c>
      <c r="J304" t="s">
        <v>24</v>
      </c>
      <c r="K304" t="s">
        <v>50</v>
      </c>
      <c r="L304" t="s">
        <v>755</v>
      </c>
      <c r="M304" s="1">
        <v>84973.34</v>
      </c>
      <c r="N304">
        <v>10</v>
      </c>
      <c r="O304" s="2">
        <v>0.2</v>
      </c>
      <c r="P304" s="1">
        <v>3986.77</v>
      </c>
      <c r="Q304" t="s">
        <v>52</v>
      </c>
      <c r="R304" t="s">
        <v>28</v>
      </c>
    </row>
    <row r="305" spans="1:18" x14ac:dyDescent="0.3">
      <c r="A305">
        <v>1304</v>
      </c>
      <c r="B305" s="3">
        <v>45338</v>
      </c>
      <c r="C305" s="3">
        <v>45339</v>
      </c>
      <c r="D305" t="s">
        <v>756</v>
      </c>
      <c r="E305" t="s">
        <v>757</v>
      </c>
      <c r="F305" t="s">
        <v>31</v>
      </c>
      <c r="G305" t="s">
        <v>95</v>
      </c>
      <c r="H305" t="s">
        <v>22</v>
      </c>
      <c r="I305" t="s">
        <v>23</v>
      </c>
      <c r="J305" t="s">
        <v>35</v>
      </c>
      <c r="K305" t="s">
        <v>59</v>
      </c>
      <c r="L305" t="s">
        <v>758</v>
      </c>
      <c r="M305" s="1">
        <v>69293.490000000005</v>
      </c>
      <c r="N305">
        <v>8</v>
      </c>
      <c r="O305" s="2">
        <v>0.25</v>
      </c>
      <c r="P305" s="1">
        <v>-356.9</v>
      </c>
      <c r="Q305" t="s">
        <v>82</v>
      </c>
      <c r="R305" t="s">
        <v>28</v>
      </c>
    </row>
    <row r="306" spans="1:18" x14ac:dyDescent="0.3">
      <c r="A306">
        <v>1305</v>
      </c>
      <c r="B306" s="3">
        <v>46008</v>
      </c>
      <c r="C306" s="3">
        <v>46014</v>
      </c>
      <c r="D306" t="s">
        <v>759</v>
      </c>
      <c r="E306" t="s">
        <v>406</v>
      </c>
      <c r="F306" t="s">
        <v>31</v>
      </c>
      <c r="G306" t="s">
        <v>118</v>
      </c>
      <c r="H306" t="s">
        <v>118</v>
      </c>
      <c r="I306" t="s">
        <v>34</v>
      </c>
      <c r="J306" t="s">
        <v>24</v>
      </c>
      <c r="K306" t="s">
        <v>224</v>
      </c>
      <c r="L306" t="s">
        <v>760</v>
      </c>
      <c r="M306" s="1">
        <v>41597.22</v>
      </c>
      <c r="N306">
        <v>4</v>
      </c>
      <c r="O306" s="2">
        <v>0.2</v>
      </c>
      <c r="P306" s="1">
        <v>2989.77</v>
      </c>
      <c r="Q306" t="s">
        <v>61</v>
      </c>
      <c r="R306" t="s">
        <v>53</v>
      </c>
    </row>
    <row r="307" spans="1:18" x14ac:dyDescent="0.3">
      <c r="A307">
        <v>1306</v>
      </c>
      <c r="B307" s="3">
        <v>45782</v>
      </c>
      <c r="C307" s="3">
        <v>45783</v>
      </c>
      <c r="D307" t="s">
        <v>761</v>
      </c>
      <c r="E307" t="s">
        <v>508</v>
      </c>
      <c r="F307" t="s">
        <v>20</v>
      </c>
      <c r="G307" t="s">
        <v>56</v>
      </c>
      <c r="H307" t="s">
        <v>57</v>
      </c>
      <c r="I307" t="s">
        <v>58</v>
      </c>
      <c r="J307" t="s">
        <v>35</v>
      </c>
      <c r="K307" t="s">
        <v>59</v>
      </c>
      <c r="L307" t="s">
        <v>762</v>
      </c>
      <c r="M307" s="1">
        <v>81027.320000000007</v>
      </c>
      <c r="N307">
        <v>5</v>
      </c>
      <c r="O307" s="2">
        <v>0.3</v>
      </c>
      <c r="P307" s="1">
        <v>8529.89</v>
      </c>
      <c r="Q307" t="s">
        <v>61</v>
      </c>
      <c r="R307" t="s">
        <v>28</v>
      </c>
    </row>
    <row r="308" spans="1:18" x14ac:dyDescent="0.3">
      <c r="A308">
        <v>1307</v>
      </c>
      <c r="B308" s="3">
        <v>45342</v>
      </c>
      <c r="C308" s="3">
        <v>45343</v>
      </c>
      <c r="D308" t="s">
        <v>449</v>
      </c>
      <c r="E308" t="s">
        <v>763</v>
      </c>
      <c r="F308" t="s">
        <v>20</v>
      </c>
      <c r="G308" t="s">
        <v>70</v>
      </c>
      <c r="H308" t="s">
        <v>71</v>
      </c>
      <c r="I308" t="s">
        <v>58</v>
      </c>
      <c r="J308" t="s">
        <v>64</v>
      </c>
      <c r="K308" t="s">
        <v>65</v>
      </c>
      <c r="L308" t="s">
        <v>764</v>
      </c>
      <c r="M308" s="1">
        <v>7229.1</v>
      </c>
      <c r="N308">
        <v>8</v>
      </c>
      <c r="O308" s="2">
        <v>0.15</v>
      </c>
      <c r="P308" s="1">
        <v>1597.84</v>
      </c>
      <c r="Q308" t="s">
        <v>27</v>
      </c>
      <c r="R308" t="s">
        <v>53</v>
      </c>
    </row>
    <row r="309" spans="1:18" x14ac:dyDescent="0.3">
      <c r="A309">
        <v>1308</v>
      </c>
      <c r="B309" s="3">
        <v>45944</v>
      </c>
      <c r="C309" s="3">
        <v>45946</v>
      </c>
      <c r="D309" t="s">
        <v>732</v>
      </c>
      <c r="E309" t="s">
        <v>682</v>
      </c>
      <c r="F309" t="s">
        <v>46</v>
      </c>
      <c r="G309" t="s">
        <v>70</v>
      </c>
      <c r="H309" t="s">
        <v>71</v>
      </c>
      <c r="I309" t="s">
        <v>58</v>
      </c>
      <c r="J309" t="s">
        <v>35</v>
      </c>
      <c r="K309" t="s">
        <v>129</v>
      </c>
      <c r="L309" t="s">
        <v>765</v>
      </c>
      <c r="M309" s="1">
        <v>70199.47</v>
      </c>
      <c r="N309">
        <v>1</v>
      </c>
      <c r="O309" s="2">
        <v>0</v>
      </c>
      <c r="P309" s="1">
        <v>14652.16</v>
      </c>
      <c r="Q309" t="s">
        <v>27</v>
      </c>
      <c r="R309" t="s">
        <v>28</v>
      </c>
    </row>
    <row r="310" spans="1:18" x14ac:dyDescent="0.3">
      <c r="A310">
        <v>1309</v>
      </c>
      <c r="B310" s="3">
        <v>45842</v>
      </c>
      <c r="C310" s="3">
        <v>45846</v>
      </c>
      <c r="D310" t="s">
        <v>766</v>
      </c>
      <c r="E310" t="s">
        <v>273</v>
      </c>
      <c r="F310" t="s">
        <v>46</v>
      </c>
      <c r="G310" t="s">
        <v>32</v>
      </c>
      <c r="H310" t="s">
        <v>33</v>
      </c>
      <c r="I310" t="s">
        <v>34</v>
      </c>
      <c r="J310" t="s">
        <v>35</v>
      </c>
      <c r="K310" t="s">
        <v>129</v>
      </c>
      <c r="L310" t="s">
        <v>767</v>
      </c>
      <c r="M310" s="1">
        <v>78490.009999999995</v>
      </c>
      <c r="N310">
        <v>10</v>
      </c>
      <c r="O310" s="2">
        <v>0.05</v>
      </c>
      <c r="P310" s="1">
        <v>21157.84</v>
      </c>
      <c r="Q310" t="s">
        <v>74</v>
      </c>
      <c r="R310" t="s">
        <v>53</v>
      </c>
    </row>
    <row r="311" spans="1:18" x14ac:dyDescent="0.3">
      <c r="A311">
        <v>1310</v>
      </c>
      <c r="B311" s="3">
        <v>45519</v>
      </c>
      <c r="C311" s="3">
        <v>45524</v>
      </c>
      <c r="D311" t="s">
        <v>204</v>
      </c>
      <c r="E311" t="s">
        <v>227</v>
      </c>
      <c r="F311" t="s">
        <v>20</v>
      </c>
      <c r="G311" t="s">
        <v>56</v>
      </c>
      <c r="H311" t="s">
        <v>57</v>
      </c>
      <c r="I311" t="s">
        <v>58</v>
      </c>
      <c r="J311" t="s">
        <v>24</v>
      </c>
      <c r="K311" t="s">
        <v>50</v>
      </c>
      <c r="L311" t="s">
        <v>768</v>
      </c>
      <c r="M311" s="1">
        <v>29273.84</v>
      </c>
      <c r="N311">
        <v>8</v>
      </c>
      <c r="O311" s="2">
        <v>0.3</v>
      </c>
      <c r="P311" s="1">
        <v>-628.72</v>
      </c>
      <c r="Q311" t="s">
        <v>67</v>
      </c>
      <c r="R311" t="s">
        <v>53</v>
      </c>
    </row>
    <row r="312" spans="1:18" x14ac:dyDescent="0.3">
      <c r="A312">
        <v>1311</v>
      </c>
      <c r="B312" s="3">
        <v>45465</v>
      </c>
      <c r="C312" s="3">
        <v>45469</v>
      </c>
      <c r="D312" t="s">
        <v>769</v>
      </c>
      <c r="E312" t="s">
        <v>117</v>
      </c>
      <c r="F312" t="s">
        <v>31</v>
      </c>
      <c r="G312" t="s">
        <v>90</v>
      </c>
      <c r="H312" t="s">
        <v>91</v>
      </c>
      <c r="I312" t="s">
        <v>23</v>
      </c>
      <c r="J312" t="s">
        <v>24</v>
      </c>
      <c r="K312" t="s">
        <v>224</v>
      </c>
      <c r="L312" t="s">
        <v>770</v>
      </c>
      <c r="M312" s="1">
        <v>21183.56</v>
      </c>
      <c r="N312">
        <v>1</v>
      </c>
      <c r="O312" s="2">
        <v>0.15</v>
      </c>
      <c r="P312" s="1">
        <v>2174.69</v>
      </c>
      <c r="Q312" t="s">
        <v>67</v>
      </c>
      <c r="R312" t="s">
        <v>120</v>
      </c>
    </row>
    <row r="313" spans="1:18" x14ac:dyDescent="0.3">
      <c r="A313">
        <v>1312</v>
      </c>
      <c r="B313" s="3">
        <v>45546</v>
      </c>
      <c r="C313" s="3">
        <v>45547</v>
      </c>
      <c r="D313" t="s">
        <v>140</v>
      </c>
      <c r="E313" t="s">
        <v>659</v>
      </c>
      <c r="F313" t="s">
        <v>46</v>
      </c>
      <c r="G313" t="s">
        <v>90</v>
      </c>
      <c r="H313" t="s">
        <v>91</v>
      </c>
      <c r="I313" t="s">
        <v>23</v>
      </c>
      <c r="J313" t="s">
        <v>64</v>
      </c>
      <c r="K313" t="s">
        <v>157</v>
      </c>
      <c r="L313" t="s">
        <v>771</v>
      </c>
      <c r="M313" s="1">
        <v>54592.65</v>
      </c>
      <c r="N313">
        <v>7</v>
      </c>
      <c r="O313" s="2">
        <v>0.15</v>
      </c>
      <c r="P313" s="1">
        <v>8167.75</v>
      </c>
      <c r="Q313" t="s">
        <v>82</v>
      </c>
      <c r="R313" t="s">
        <v>39</v>
      </c>
    </row>
    <row r="314" spans="1:18" x14ac:dyDescent="0.3">
      <c r="A314">
        <v>1313</v>
      </c>
      <c r="B314" s="3">
        <v>45305</v>
      </c>
      <c r="C314" s="3">
        <v>45307</v>
      </c>
      <c r="D314" t="s">
        <v>772</v>
      </c>
      <c r="E314" t="s">
        <v>717</v>
      </c>
      <c r="F314" t="s">
        <v>46</v>
      </c>
      <c r="G314" t="s">
        <v>90</v>
      </c>
      <c r="H314" t="s">
        <v>91</v>
      </c>
      <c r="I314" t="s">
        <v>23</v>
      </c>
      <c r="J314" t="s">
        <v>24</v>
      </c>
      <c r="K314" t="s">
        <v>212</v>
      </c>
      <c r="L314" t="s">
        <v>773</v>
      </c>
      <c r="M314" s="1">
        <v>6521.57</v>
      </c>
      <c r="N314">
        <v>7</v>
      </c>
      <c r="O314" s="2">
        <v>0.3</v>
      </c>
      <c r="P314" s="1">
        <v>1105.92</v>
      </c>
      <c r="Q314" t="s">
        <v>61</v>
      </c>
      <c r="R314" t="s">
        <v>120</v>
      </c>
    </row>
    <row r="315" spans="1:18" x14ac:dyDescent="0.3">
      <c r="A315">
        <v>1314</v>
      </c>
      <c r="B315" s="3">
        <v>45545</v>
      </c>
      <c r="C315" s="3">
        <v>45548</v>
      </c>
      <c r="D315" t="s">
        <v>88</v>
      </c>
      <c r="E315" t="s">
        <v>175</v>
      </c>
      <c r="F315" t="s">
        <v>31</v>
      </c>
      <c r="G315" t="s">
        <v>85</v>
      </c>
      <c r="H315" t="s">
        <v>86</v>
      </c>
      <c r="I315" t="s">
        <v>49</v>
      </c>
      <c r="J315" t="s">
        <v>35</v>
      </c>
      <c r="K315" t="s">
        <v>129</v>
      </c>
      <c r="L315" t="s">
        <v>774</v>
      </c>
      <c r="M315" s="1">
        <v>21661.63</v>
      </c>
      <c r="N315">
        <v>6</v>
      </c>
      <c r="O315" s="2">
        <v>0.2</v>
      </c>
      <c r="P315" s="1">
        <v>2869.37</v>
      </c>
      <c r="Q315" t="s">
        <v>74</v>
      </c>
      <c r="R315" t="s">
        <v>39</v>
      </c>
    </row>
    <row r="316" spans="1:18" x14ac:dyDescent="0.3">
      <c r="A316">
        <v>1315</v>
      </c>
      <c r="B316" s="3">
        <v>45390</v>
      </c>
      <c r="C316" s="3">
        <v>45392</v>
      </c>
      <c r="D316" t="s">
        <v>193</v>
      </c>
      <c r="E316" t="s">
        <v>473</v>
      </c>
      <c r="F316" t="s">
        <v>31</v>
      </c>
      <c r="G316" t="s">
        <v>56</v>
      </c>
      <c r="H316" t="s">
        <v>57</v>
      </c>
      <c r="I316" t="s">
        <v>58</v>
      </c>
      <c r="J316" t="s">
        <v>24</v>
      </c>
      <c r="K316" t="s">
        <v>224</v>
      </c>
      <c r="L316" t="s">
        <v>775</v>
      </c>
      <c r="M316" s="1">
        <v>78059.009999999995</v>
      </c>
      <c r="N316">
        <v>8</v>
      </c>
      <c r="O316" s="2">
        <v>0.1</v>
      </c>
      <c r="P316" s="1">
        <v>9299.7900000000009</v>
      </c>
      <c r="Q316" t="s">
        <v>27</v>
      </c>
      <c r="R316" t="s">
        <v>28</v>
      </c>
    </row>
    <row r="317" spans="1:18" x14ac:dyDescent="0.3">
      <c r="A317">
        <v>1316</v>
      </c>
      <c r="B317" s="3">
        <v>45996</v>
      </c>
      <c r="C317" s="3">
        <v>45997</v>
      </c>
      <c r="D317" t="s">
        <v>776</v>
      </c>
      <c r="E317" t="s">
        <v>359</v>
      </c>
      <c r="F317" t="s">
        <v>46</v>
      </c>
      <c r="G317" t="s">
        <v>21</v>
      </c>
      <c r="H317" t="s">
        <v>22</v>
      </c>
      <c r="I317" t="s">
        <v>23</v>
      </c>
      <c r="J317" t="s">
        <v>64</v>
      </c>
      <c r="K317" t="s">
        <v>80</v>
      </c>
      <c r="L317" t="s">
        <v>777</v>
      </c>
      <c r="M317" s="1">
        <v>76135.64</v>
      </c>
      <c r="N317">
        <v>2</v>
      </c>
      <c r="O317" s="2">
        <v>0.25</v>
      </c>
      <c r="P317" s="1">
        <v>8828.33</v>
      </c>
      <c r="Q317" t="s">
        <v>82</v>
      </c>
      <c r="R317" t="s">
        <v>53</v>
      </c>
    </row>
    <row r="318" spans="1:18" x14ac:dyDescent="0.3">
      <c r="A318">
        <v>1317</v>
      </c>
      <c r="B318" s="3">
        <v>45823</v>
      </c>
      <c r="C318" s="3">
        <v>45825</v>
      </c>
      <c r="D318" t="s">
        <v>68</v>
      </c>
      <c r="E318" t="s">
        <v>397</v>
      </c>
      <c r="F318" t="s">
        <v>31</v>
      </c>
      <c r="G318" t="s">
        <v>70</v>
      </c>
      <c r="H318" t="s">
        <v>71</v>
      </c>
      <c r="I318" t="s">
        <v>58</v>
      </c>
      <c r="J318" t="s">
        <v>24</v>
      </c>
      <c r="K318" t="s">
        <v>212</v>
      </c>
      <c r="L318" t="s">
        <v>778</v>
      </c>
      <c r="M318" s="1">
        <v>59157.39</v>
      </c>
      <c r="N318">
        <v>10</v>
      </c>
      <c r="O318" s="2">
        <v>0</v>
      </c>
      <c r="P318" s="1">
        <v>15257.47</v>
      </c>
      <c r="Q318" t="s">
        <v>61</v>
      </c>
      <c r="R318" t="s">
        <v>120</v>
      </c>
    </row>
    <row r="319" spans="1:18" x14ac:dyDescent="0.3">
      <c r="A319">
        <v>1318</v>
      </c>
      <c r="B319" s="3">
        <v>45538</v>
      </c>
      <c r="C319" s="3">
        <v>45543</v>
      </c>
      <c r="D319" t="s">
        <v>249</v>
      </c>
      <c r="E319" t="s">
        <v>194</v>
      </c>
      <c r="F319" t="s">
        <v>46</v>
      </c>
      <c r="G319" t="s">
        <v>21</v>
      </c>
      <c r="H319" t="s">
        <v>22</v>
      </c>
      <c r="I319" t="s">
        <v>23</v>
      </c>
      <c r="J319" t="s">
        <v>24</v>
      </c>
      <c r="K319" t="s">
        <v>72</v>
      </c>
      <c r="L319" t="s">
        <v>779</v>
      </c>
      <c r="M319" s="1">
        <v>70781.53</v>
      </c>
      <c r="N319">
        <v>4</v>
      </c>
      <c r="O319" s="2">
        <v>0.3</v>
      </c>
      <c r="P319" s="1">
        <v>-1160.3599999999999</v>
      </c>
      <c r="Q319" t="s">
        <v>115</v>
      </c>
      <c r="R319" t="s">
        <v>53</v>
      </c>
    </row>
    <row r="320" spans="1:18" x14ac:dyDescent="0.3">
      <c r="A320">
        <v>1319</v>
      </c>
      <c r="B320" s="3">
        <v>45890</v>
      </c>
      <c r="C320" s="3">
        <v>45896</v>
      </c>
      <c r="D320" t="s">
        <v>780</v>
      </c>
      <c r="E320" t="s">
        <v>287</v>
      </c>
      <c r="F320" t="s">
        <v>31</v>
      </c>
      <c r="G320" t="s">
        <v>112</v>
      </c>
      <c r="H320" t="s">
        <v>113</v>
      </c>
      <c r="I320" t="s">
        <v>49</v>
      </c>
      <c r="J320" t="s">
        <v>24</v>
      </c>
      <c r="K320" t="s">
        <v>212</v>
      </c>
      <c r="L320" t="s">
        <v>781</v>
      </c>
      <c r="M320" s="1">
        <v>53443.19</v>
      </c>
      <c r="N320">
        <v>5</v>
      </c>
      <c r="O320" s="2">
        <v>0.25</v>
      </c>
      <c r="P320" s="1">
        <v>4664.71</v>
      </c>
      <c r="Q320" t="s">
        <v>38</v>
      </c>
      <c r="R320" t="s">
        <v>53</v>
      </c>
    </row>
    <row r="321" spans="1:18" x14ac:dyDescent="0.3">
      <c r="A321">
        <v>1320</v>
      </c>
      <c r="B321" s="3">
        <v>45310</v>
      </c>
      <c r="C321" s="3">
        <v>45313</v>
      </c>
      <c r="D321" t="s">
        <v>246</v>
      </c>
      <c r="E321" t="s">
        <v>489</v>
      </c>
      <c r="F321" t="s">
        <v>20</v>
      </c>
      <c r="G321" t="s">
        <v>70</v>
      </c>
      <c r="H321" t="s">
        <v>71</v>
      </c>
      <c r="I321" t="s">
        <v>58</v>
      </c>
      <c r="J321" t="s">
        <v>24</v>
      </c>
      <c r="K321" t="s">
        <v>72</v>
      </c>
      <c r="L321" t="s">
        <v>782</v>
      </c>
      <c r="M321" s="1">
        <v>10499.27</v>
      </c>
      <c r="N321">
        <v>9</v>
      </c>
      <c r="O321" s="2">
        <v>0.15</v>
      </c>
      <c r="P321" s="1">
        <v>2101.58</v>
      </c>
      <c r="Q321" t="s">
        <v>27</v>
      </c>
      <c r="R321" t="s">
        <v>39</v>
      </c>
    </row>
    <row r="322" spans="1:18" x14ac:dyDescent="0.3">
      <c r="A322">
        <v>1321</v>
      </c>
      <c r="B322" s="3">
        <v>45743</v>
      </c>
      <c r="C322" s="3">
        <v>45747</v>
      </c>
      <c r="D322" t="s">
        <v>18</v>
      </c>
      <c r="E322" t="s">
        <v>138</v>
      </c>
      <c r="F322" t="s">
        <v>46</v>
      </c>
      <c r="G322" t="s">
        <v>85</v>
      </c>
      <c r="H322" t="s">
        <v>86</v>
      </c>
      <c r="I322" t="s">
        <v>49</v>
      </c>
      <c r="J322" t="s">
        <v>64</v>
      </c>
      <c r="K322" t="s">
        <v>188</v>
      </c>
      <c r="L322" t="s">
        <v>783</v>
      </c>
      <c r="M322" s="1">
        <v>80857.259999999995</v>
      </c>
      <c r="N322">
        <v>8</v>
      </c>
      <c r="O322" s="2">
        <v>0</v>
      </c>
      <c r="P322" s="1">
        <v>24039.59</v>
      </c>
      <c r="Q322" t="s">
        <v>61</v>
      </c>
      <c r="R322" t="s">
        <v>53</v>
      </c>
    </row>
    <row r="323" spans="1:18" x14ac:dyDescent="0.3">
      <c r="A323">
        <v>1322</v>
      </c>
      <c r="B323" s="3">
        <v>45977</v>
      </c>
      <c r="C323" s="3">
        <v>45980</v>
      </c>
      <c r="D323" t="s">
        <v>784</v>
      </c>
      <c r="E323" t="s">
        <v>365</v>
      </c>
      <c r="F323" t="s">
        <v>20</v>
      </c>
      <c r="G323" t="s">
        <v>118</v>
      </c>
      <c r="H323" t="s">
        <v>118</v>
      </c>
      <c r="I323" t="s">
        <v>34</v>
      </c>
      <c r="J323" t="s">
        <v>64</v>
      </c>
      <c r="K323" t="s">
        <v>80</v>
      </c>
      <c r="L323" t="s">
        <v>785</v>
      </c>
      <c r="M323" s="1">
        <v>15113.55</v>
      </c>
      <c r="N323">
        <v>6</v>
      </c>
      <c r="O323" s="2">
        <v>0.2</v>
      </c>
      <c r="P323" s="1">
        <v>1629.36</v>
      </c>
      <c r="Q323" t="s">
        <v>52</v>
      </c>
      <c r="R323" t="s">
        <v>28</v>
      </c>
    </row>
    <row r="324" spans="1:18" x14ac:dyDescent="0.3">
      <c r="A324">
        <v>1323</v>
      </c>
      <c r="B324" s="3">
        <v>45808</v>
      </c>
      <c r="C324" s="3">
        <v>45810</v>
      </c>
      <c r="D324" t="s">
        <v>684</v>
      </c>
      <c r="E324" t="s">
        <v>581</v>
      </c>
      <c r="F324" t="s">
        <v>20</v>
      </c>
      <c r="G324" t="s">
        <v>118</v>
      </c>
      <c r="H324" t="s">
        <v>118</v>
      </c>
      <c r="I324" t="s">
        <v>34</v>
      </c>
      <c r="J324" t="s">
        <v>35</v>
      </c>
      <c r="K324" t="s">
        <v>129</v>
      </c>
      <c r="L324" t="s">
        <v>786</v>
      </c>
      <c r="M324" s="1">
        <v>54511.35</v>
      </c>
      <c r="N324">
        <v>3</v>
      </c>
      <c r="O324" s="2">
        <v>0</v>
      </c>
      <c r="P324" s="1">
        <v>14989.35</v>
      </c>
      <c r="Q324" t="s">
        <v>82</v>
      </c>
      <c r="R324" t="s">
        <v>120</v>
      </c>
    </row>
    <row r="325" spans="1:18" x14ac:dyDescent="0.3">
      <c r="A325">
        <v>1324</v>
      </c>
      <c r="B325" s="3">
        <v>45969</v>
      </c>
      <c r="C325" s="3">
        <v>45970</v>
      </c>
      <c r="D325" t="s">
        <v>787</v>
      </c>
      <c r="E325" t="s">
        <v>187</v>
      </c>
      <c r="F325" t="s">
        <v>31</v>
      </c>
      <c r="G325" t="s">
        <v>90</v>
      </c>
      <c r="H325" t="s">
        <v>91</v>
      </c>
      <c r="I325" t="s">
        <v>23</v>
      </c>
      <c r="J325" t="s">
        <v>24</v>
      </c>
      <c r="K325" t="s">
        <v>72</v>
      </c>
      <c r="L325" t="s">
        <v>788</v>
      </c>
      <c r="M325" s="1">
        <v>62603.68</v>
      </c>
      <c r="N325">
        <v>5</v>
      </c>
      <c r="O325" s="2">
        <v>0.1</v>
      </c>
      <c r="P325" s="1">
        <v>9518.1200000000008</v>
      </c>
      <c r="Q325" t="s">
        <v>61</v>
      </c>
      <c r="R325" t="s">
        <v>39</v>
      </c>
    </row>
    <row r="326" spans="1:18" x14ac:dyDescent="0.3">
      <c r="A326">
        <v>1325</v>
      </c>
      <c r="B326" s="3">
        <v>45665</v>
      </c>
      <c r="C326" s="3">
        <v>45666</v>
      </c>
      <c r="D326" t="s">
        <v>789</v>
      </c>
      <c r="E326" t="s">
        <v>156</v>
      </c>
      <c r="F326" t="s">
        <v>20</v>
      </c>
      <c r="G326" t="s">
        <v>112</v>
      </c>
      <c r="H326" t="s">
        <v>113</v>
      </c>
      <c r="I326" t="s">
        <v>49</v>
      </c>
      <c r="J326" t="s">
        <v>24</v>
      </c>
      <c r="K326" t="s">
        <v>224</v>
      </c>
      <c r="L326" t="s">
        <v>790</v>
      </c>
      <c r="M326" s="1">
        <v>45101.03</v>
      </c>
      <c r="N326">
        <v>3</v>
      </c>
      <c r="O326" s="2">
        <v>0</v>
      </c>
      <c r="P326" s="1">
        <v>6999.72</v>
      </c>
      <c r="Q326" t="s">
        <v>82</v>
      </c>
      <c r="R326" t="s">
        <v>28</v>
      </c>
    </row>
    <row r="327" spans="1:18" x14ac:dyDescent="0.3">
      <c r="A327">
        <v>1326</v>
      </c>
      <c r="B327" s="3">
        <v>45779</v>
      </c>
      <c r="C327" s="3">
        <v>45781</v>
      </c>
      <c r="D327" t="s">
        <v>243</v>
      </c>
      <c r="E327" t="s">
        <v>238</v>
      </c>
      <c r="F327" t="s">
        <v>46</v>
      </c>
      <c r="G327" t="s">
        <v>85</v>
      </c>
      <c r="H327" t="s">
        <v>86</v>
      </c>
      <c r="I327" t="s">
        <v>49</v>
      </c>
      <c r="J327" t="s">
        <v>64</v>
      </c>
      <c r="K327" t="s">
        <v>65</v>
      </c>
      <c r="L327" t="s">
        <v>791</v>
      </c>
      <c r="M327" s="1">
        <v>88727.89</v>
      </c>
      <c r="N327">
        <v>2</v>
      </c>
      <c r="O327" s="2">
        <v>0.15</v>
      </c>
      <c r="P327" s="1">
        <v>9674.3799999999992</v>
      </c>
      <c r="Q327" t="s">
        <v>61</v>
      </c>
      <c r="R327" t="s">
        <v>53</v>
      </c>
    </row>
    <row r="328" spans="1:18" x14ac:dyDescent="0.3">
      <c r="A328">
        <v>1327</v>
      </c>
      <c r="B328" s="3">
        <v>45921</v>
      </c>
      <c r="C328" s="3">
        <v>45927</v>
      </c>
      <c r="D328" t="s">
        <v>792</v>
      </c>
      <c r="E328" t="s">
        <v>278</v>
      </c>
      <c r="F328" t="s">
        <v>20</v>
      </c>
      <c r="G328" t="s">
        <v>47</v>
      </c>
      <c r="H328" t="s">
        <v>48</v>
      </c>
      <c r="I328" t="s">
        <v>49</v>
      </c>
      <c r="J328" t="s">
        <v>35</v>
      </c>
      <c r="K328" t="s">
        <v>129</v>
      </c>
      <c r="L328" t="s">
        <v>793</v>
      </c>
      <c r="M328" s="1">
        <v>72502.7</v>
      </c>
      <c r="N328">
        <v>7</v>
      </c>
      <c r="O328" s="2">
        <v>0.2</v>
      </c>
      <c r="P328" s="1">
        <v>7614</v>
      </c>
      <c r="Q328" t="s">
        <v>115</v>
      </c>
      <c r="R328" t="s">
        <v>39</v>
      </c>
    </row>
    <row r="329" spans="1:18" x14ac:dyDescent="0.3">
      <c r="A329">
        <v>1328</v>
      </c>
      <c r="B329" s="3">
        <v>45993</v>
      </c>
      <c r="C329" s="3">
        <v>45997</v>
      </c>
      <c r="D329" t="s">
        <v>475</v>
      </c>
      <c r="E329" t="s">
        <v>566</v>
      </c>
      <c r="F329" t="s">
        <v>31</v>
      </c>
      <c r="G329" t="s">
        <v>112</v>
      </c>
      <c r="H329" t="s">
        <v>113</v>
      </c>
      <c r="I329" t="s">
        <v>49</v>
      </c>
      <c r="J329" t="s">
        <v>35</v>
      </c>
      <c r="K329" t="s">
        <v>42</v>
      </c>
      <c r="L329" t="s">
        <v>794</v>
      </c>
      <c r="M329" s="1">
        <v>88930.38</v>
      </c>
      <c r="N329">
        <v>5</v>
      </c>
      <c r="O329" s="2">
        <v>0.2</v>
      </c>
      <c r="P329" s="1">
        <v>14945.73</v>
      </c>
      <c r="Q329" t="s">
        <v>27</v>
      </c>
      <c r="R329" t="s">
        <v>28</v>
      </c>
    </row>
    <row r="330" spans="1:18" x14ac:dyDescent="0.3">
      <c r="A330">
        <v>1329</v>
      </c>
      <c r="B330" s="3">
        <v>45334</v>
      </c>
      <c r="C330" s="3">
        <v>45337</v>
      </c>
      <c r="D330" t="s">
        <v>223</v>
      </c>
      <c r="E330" t="s">
        <v>293</v>
      </c>
      <c r="F330" t="s">
        <v>46</v>
      </c>
      <c r="G330" t="s">
        <v>85</v>
      </c>
      <c r="H330" t="s">
        <v>86</v>
      </c>
      <c r="I330" t="s">
        <v>49</v>
      </c>
      <c r="J330" t="s">
        <v>64</v>
      </c>
      <c r="K330" t="s">
        <v>104</v>
      </c>
      <c r="L330" t="s">
        <v>795</v>
      </c>
      <c r="M330" s="1">
        <v>17463.45</v>
      </c>
      <c r="N330">
        <v>2</v>
      </c>
      <c r="O330" s="2">
        <v>0.05</v>
      </c>
      <c r="P330" s="1">
        <v>2149.52</v>
      </c>
      <c r="Q330" t="s">
        <v>52</v>
      </c>
      <c r="R330" t="s">
        <v>28</v>
      </c>
    </row>
    <row r="331" spans="1:18" x14ac:dyDescent="0.3">
      <c r="A331">
        <v>1330</v>
      </c>
      <c r="B331" s="3">
        <v>45989</v>
      </c>
      <c r="C331" s="3">
        <v>45990</v>
      </c>
      <c r="D331" t="s">
        <v>796</v>
      </c>
      <c r="E331" t="s">
        <v>470</v>
      </c>
      <c r="F331" t="s">
        <v>31</v>
      </c>
      <c r="G331" t="s">
        <v>85</v>
      </c>
      <c r="H331" t="s">
        <v>86</v>
      </c>
      <c r="I331" t="s">
        <v>49</v>
      </c>
      <c r="J331" t="s">
        <v>35</v>
      </c>
      <c r="K331" t="s">
        <v>129</v>
      </c>
      <c r="L331" t="s">
        <v>797</v>
      </c>
      <c r="M331" s="1">
        <v>54976.35</v>
      </c>
      <c r="N331">
        <v>1</v>
      </c>
      <c r="O331" s="2">
        <v>0.25</v>
      </c>
      <c r="P331" s="1">
        <v>-988.03</v>
      </c>
      <c r="Q331" t="s">
        <v>52</v>
      </c>
      <c r="R331" t="s">
        <v>120</v>
      </c>
    </row>
    <row r="332" spans="1:18" x14ac:dyDescent="0.3">
      <c r="A332">
        <v>1331</v>
      </c>
      <c r="B332" s="3">
        <v>45370</v>
      </c>
      <c r="C332" s="3">
        <v>45372</v>
      </c>
      <c r="D332" t="s">
        <v>798</v>
      </c>
      <c r="E332" t="s">
        <v>181</v>
      </c>
      <c r="F332" t="s">
        <v>20</v>
      </c>
      <c r="G332" t="s">
        <v>70</v>
      </c>
      <c r="H332" t="s">
        <v>71</v>
      </c>
      <c r="I332" t="s">
        <v>58</v>
      </c>
      <c r="J332" t="s">
        <v>35</v>
      </c>
      <c r="K332" t="s">
        <v>59</v>
      </c>
      <c r="L332" t="s">
        <v>799</v>
      </c>
      <c r="M332" s="1">
        <v>20774.18</v>
      </c>
      <c r="N332">
        <v>10</v>
      </c>
      <c r="O332" s="2">
        <v>0</v>
      </c>
      <c r="P332" s="1">
        <v>2133.29</v>
      </c>
      <c r="Q332" t="s">
        <v>61</v>
      </c>
      <c r="R332" t="s">
        <v>39</v>
      </c>
    </row>
    <row r="333" spans="1:18" x14ac:dyDescent="0.3">
      <c r="A333">
        <v>1332</v>
      </c>
      <c r="B333" s="3">
        <v>45580</v>
      </c>
      <c r="C333" s="3">
        <v>45582</v>
      </c>
      <c r="D333" t="s">
        <v>800</v>
      </c>
      <c r="E333" t="s">
        <v>592</v>
      </c>
      <c r="F333" t="s">
        <v>31</v>
      </c>
      <c r="G333" t="s">
        <v>102</v>
      </c>
      <c r="H333" t="s">
        <v>103</v>
      </c>
      <c r="I333" t="s">
        <v>58</v>
      </c>
      <c r="J333" t="s">
        <v>24</v>
      </c>
      <c r="K333" t="s">
        <v>224</v>
      </c>
      <c r="L333" t="s">
        <v>801</v>
      </c>
      <c r="M333" s="1">
        <v>56592.01</v>
      </c>
      <c r="N333">
        <v>10</v>
      </c>
      <c r="O333" s="2">
        <v>0.2</v>
      </c>
      <c r="P333" s="1">
        <v>9494.74</v>
      </c>
      <c r="Q333" t="s">
        <v>52</v>
      </c>
      <c r="R333" t="s">
        <v>53</v>
      </c>
    </row>
    <row r="334" spans="1:18" x14ac:dyDescent="0.3">
      <c r="A334">
        <v>1333</v>
      </c>
      <c r="B334" s="3">
        <v>45568</v>
      </c>
      <c r="C334" s="3">
        <v>45574</v>
      </c>
      <c r="D334" t="s">
        <v>529</v>
      </c>
      <c r="E334" t="s">
        <v>697</v>
      </c>
      <c r="F334" t="s">
        <v>20</v>
      </c>
      <c r="G334" t="s">
        <v>102</v>
      </c>
      <c r="H334" t="s">
        <v>103</v>
      </c>
      <c r="I334" t="s">
        <v>58</v>
      </c>
      <c r="J334" t="s">
        <v>35</v>
      </c>
      <c r="K334" t="s">
        <v>129</v>
      </c>
      <c r="L334" t="s">
        <v>802</v>
      </c>
      <c r="M334" s="1">
        <v>85105.88</v>
      </c>
      <c r="N334">
        <v>7</v>
      </c>
      <c r="O334" s="2">
        <v>0.1</v>
      </c>
      <c r="P334" s="1">
        <v>18404.84</v>
      </c>
      <c r="Q334" t="s">
        <v>67</v>
      </c>
      <c r="R334" t="s">
        <v>39</v>
      </c>
    </row>
    <row r="335" spans="1:18" x14ac:dyDescent="0.3">
      <c r="A335">
        <v>1334</v>
      </c>
      <c r="B335" s="3">
        <v>45804</v>
      </c>
      <c r="C335" s="3">
        <v>45807</v>
      </c>
      <c r="D335" t="s">
        <v>563</v>
      </c>
      <c r="E335" t="s">
        <v>803</v>
      </c>
      <c r="F335" t="s">
        <v>20</v>
      </c>
      <c r="G335" t="s">
        <v>21</v>
      </c>
      <c r="H335" t="s">
        <v>22</v>
      </c>
      <c r="I335" t="s">
        <v>23</v>
      </c>
      <c r="J335" t="s">
        <v>64</v>
      </c>
      <c r="K335" t="s">
        <v>65</v>
      </c>
      <c r="L335" t="s">
        <v>804</v>
      </c>
      <c r="M335" s="1">
        <v>24161.56</v>
      </c>
      <c r="N335">
        <v>2</v>
      </c>
      <c r="O335" s="2">
        <v>0</v>
      </c>
      <c r="P335" s="1">
        <v>6565.96</v>
      </c>
      <c r="Q335" t="s">
        <v>115</v>
      </c>
      <c r="R335" t="s">
        <v>28</v>
      </c>
    </row>
    <row r="336" spans="1:18" x14ac:dyDescent="0.3">
      <c r="A336">
        <v>1335</v>
      </c>
      <c r="B336" s="3">
        <v>45295</v>
      </c>
      <c r="C336" s="3">
        <v>45297</v>
      </c>
      <c r="D336" t="s">
        <v>391</v>
      </c>
      <c r="E336" t="s">
        <v>805</v>
      </c>
      <c r="F336" t="s">
        <v>46</v>
      </c>
      <c r="G336" t="s">
        <v>95</v>
      </c>
      <c r="H336" t="s">
        <v>22</v>
      </c>
      <c r="I336" t="s">
        <v>23</v>
      </c>
      <c r="J336" t="s">
        <v>64</v>
      </c>
      <c r="K336" t="s">
        <v>188</v>
      </c>
      <c r="L336" t="s">
        <v>806</v>
      </c>
      <c r="M336" s="1">
        <v>54320.25</v>
      </c>
      <c r="N336">
        <v>3</v>
      </c>
      <c r="O336" s="2">
        <v>0.15</v>
      </c>
      <c r="P336" s="1">
        <v>8679.19</v>
      </c>
      <c r="Q336" t="s">
        <v>67</v>
      </c>
      <c r="R336" t="s">
        <v>28</v>
      </c>
    </row>
    <row r="337" spans="1:18" x14ac:dyDescent="0.3">
      <c r="A337">
        <v>1336</v>
      </c>
      <c r="B337" s="3">
        <v>45836</v>
      </c>
      <c r="C337" s="3">
        <v>45841</v>
      </c>
      <c r="D337" t="s">
        <v>807</v>
      </c>
      <c r="E337" t="s">
        <v>566</v>
      </c>
      <c r="F337" t="s">
        <v>46</v>
      </c>
      <c r="G337" t="s">
        <v>90</v>
      </c>
      <c r="H337" t="s">
        <v>91</v>
      </c>
      <c r="I337" t="s">
        <v>23</v>
      </c>
      <c r="J337" t="s">
        <v>64</v>
      </c>
      <c r="K337" t="s">
        <v>65</v>
      </c>
      <c r="L337" t="s">
        <v>808</v>
      </c>
      <c r="M337" s="1">
        <v>63857.48</v>
      </c>
      <c r="N337">
        <v>9</v>
      </c>
      <c r="O337" s="2">
        <v>0.1</v>
      </c>
      <c r="P337" s="1">
        <v>15649.46</v>
      </c>
      <c r="Q337" t="s">
        <v>82</v>
      </c>
      <c r="R337" t="s">
        <v>28</v>
      </c>
    </row>
    <row r="338" spans="1:18" x14ac:dyDescent="0.3">
      <c r="A338">
        <v>1337</v>
      </c>
      <c r="B338" s="3">
        <v>45589</v>
      </c>
      <c r="C338" s="3">
        <v>45592</v>
      </c>
      <c r="D338" t="s">
        <v>393</v>
      </c>
      <c r="E338" t="s">
        <v>809</v>
      </c>
      <c r="F338" t="s">
        <v>31</v>
      </c>
      <c r="G338" t="s">
        <v>95</v>
      </c>
      <c r="H338" t="s">
        <v>22</v>
      </c>
      <c r="I338" t="s">
        <v>23</v>
      </c>
      <c r="J338" t="s">
        <v>64</v>
      </c>
      <c r="K338" t="s">
        <v>188</v>
      </c>
      <c r="L338" t="s">
        <v>810</v>
      </c>
      <c r="M338" s="1">
        <v>47368.67</v>
      </c>
      <c r="N338">
        <v>3</v>
      </c>
      <c r="O338" s="2">
        <v>0.1</v>
      </c>
      <c r="P338" s="1">
        <v>9873.81</v>
      </c>
      <c r="Q338" t="s">
        <v>115</v>
      </c>
      <c r="R338" t="s">
        <v>120</v>
      </c>
    </row>
    <row r="339" spans="1:18" x14ac:dyDescent="0.3">
      <c r="A339">
        <v>1338</v>
      </c>
      <c r="B339" s="3">
        <v>45562</v>
      </c>
      <c r="C339" s="3">
        <v>45565</v>
      </c>
      <c r="D339" t="s">
        <v>155</v>
      </c>
      <c r="E339" t="s">
        <v>235</v>
      </c>
      <c r="F339" t="s">
        <v>31</v>
      </c>
      <c r="G339" t="s">
        <v>21</v>
      </c>
      <c r="H339" t="s">
        <v>22</v>
      </c>
      <c r="I339" t="s">
        <v>23</v>
      </c>
      <c r="J339" t="s">
        <v>24</v>
      </c>
      <c r="K339" t="s">
        <v>212</v>
      </c>
      <c r="L339" t="s">
        <v>811</v>
      </c>
      <c r="M339" s="1">
        <v>81708.17</v>
      </c>
      <c r="N339">
        <v>8</v>
      </c>
      <c r="O339" s="2">
        <v>0.1</v>
      </c>
      <c r="P339" s="1">
        <v>20092.259999999998</v>
      </c>
      <c r="Q339" t="s">
        <v>115</v>
      </c>
      <c r="R339" t="s">
        <v>53</v>
      </c>
    </row>
    <row r="340" spans="1:18" x14ac:dyDescent="0.3">
      <c r="A340">
        <v>1339</v>
      </c>
      <c r="B340" s="3">
        <v>45516</v>
      </c>
      <c r="C340" s="3">
        <v>45521</v>
      </c>
      <c r="D340" t="s">
        <v>423</v>
      </c>
      <c r="E340" t="s">
        <v>812</v>
      </c>
      <c r="F340" t="s">
        <v>46</v>
      </c>
      <c r="G340" t="s">
        <v>90</v>
      </c>
      <c r="H340" t="s">
        <v>91</v>
      </c>
      <c r="I340" t="s">
        <v>23</v>
      </c>
      <c r="J340" t="s">
        <v>35</v>
      </c>
      <c r="K340" t="s">
        <v>129</v>
      </c>
      <c r="L340" t="s">
        <v>813</v>
      </c>
      <c r="M340" s="1">
        <v>42576.76</v>
      </c>
      <c r="N340">
        <v>5</v>
      </c>
      <c r="O340" s="2">
        <v>0</v>
      </c>
      <c r="P340" s="1">
        <v>11545.63</v>
      </c>
      <c r="Q340" t="s">
        <v>82</v>
      </c>
      <c r="R340" t="s">
        <v>53</v>
      </c>
    </row>
    <row r="341" spans="1:18" x14ac:dyDescent="0.3">
      <c r="A341">
        <v>1340</v>
      </c>
      <c r="B341" s="3">
        <v>45301</v>
      </c>
      <c r="C341" s="3">
        <v>45303</v>
      </c>
      <c r="D341" t="s">
        <v>214</v>
      </c>
      <c r="E341" t="s">
        <v>814</v>
      </c>
      <c r="F341" t="s">
        <v>46</v>
      </c>
      <c r="G341" t="s">
        <v>107</v>
      </c>
      <c r="H341" t="s">
        <v>108</v>
      </c>
      <c r="I341" t="s">
        <v>34</v>
      </c>
      <c r="J341" t="s">
        <v>64</v>
      </c>
      <c r="K341" t="s">
        <v>188</v>
      </c>
      <c r="L341" t="s">
        <v>815</v>
      </c>
      <c r="M341" s="1">
        <v>47966.23</v>
      </c>
      <c r="N341">
        <v>10</v>
      </c>
      <c r="O341" s="2">
        <v>0.1</v>
      </c>
      <c r="P341" s="1">
        <v>3935.44</v>
      </c>
      <c r="Q341" t="s">
        <v>74</v>
      </c>
      <c r="R341" t="s">
        <v>39</v>
      </c>
    </row>
    <row r="342" spans="1:18" x14ac:dyDescent="0.3">
      <c r="A342">
        <v>1341</v>
      </c>
      <c r="B342" s="3">
        <v>45792</v>
      </c>
      <c r="C342" s="3">
        <v>45796</v>
      </c>
      <c r="D342" t="s">
        <v>792</v>
      </c>
      <c r="E342" t="s">
        <v>816</v>
      </c>
      <c r="F342" t="s">
        <v>31</v>
      </c>
      <c r="G342" t="s">
        <v>21</v>
      </c>
      <c r="H342" t="s">
        <v>22</v>
      </c>
      <c r="I342" t="s">
        <v>23</v>
      </c>
      <c r="J342" t="s">
        <v>35</v>
      </c>
      <c r="K342" t="s">
        <v>59</v>
      </c>
      <c r="L342" t="s">
        <v>817</v>
      </c>
      <c r="M342" s="1">
        <v>49508.56</v>
      </c>
      <c r="N342">
        <v>10</v>
      </c>
      <c r="O342" s="2">
        <v>0</v>
      </c>
      <c r="P342" s="1">
        <v>8101.32</v>
      </c>
      <c r="Q342" t="s">
        <v>74</v>
      </c>
      <c r="R342" t="s">
        <v>39</v>
      </c>
    </row>
    <row r="343" spans="1:18" x14ac:dyDescent="0.3">
      <c r="A343">
        <v>1342</v>
      </c>
      <c r="B343" s="3">
        <v>45645</v>
      </c>
      <c r="C343" s="3">
        <v>45646</v>
      </c>
      <c r="D343" t="s">
        <v>818</v>
      </c>
      <c r="E343" t="s">
        <v>553</v>
      </c>
      <c r="F343" t="s">
        <v>20</v>
      </c>
      <c r="G343" t="s">
        <v>107</v>
      </c>
      <c r="H343" t="s">
        <v>108</v>
      </c>
      <c r="I343" t="s">
        <v>34</v>
      </c>
      <c r="J343" t="s">
        <v>35</v>
      </c>
      <c r="K343" t="s">
        <v>129</v>
      </c>
      <c r="L343" t="s">
        <v>819</v>
      </c>
      <c r="M343" s="1">
        <v>8418.17</v>
      </c>
      <c r="N343">
        <v>8</v>
      </c>
      <c r="O343" s="2">
        <v>0.25</v>
      </c>
      <c r="P343" s="1">
        <v>1492.63</v>
      </c>
      <c r="Q343" t="s">
        <v>38</v>
      </c>
      <c r="R343" t="s">
        <v>28</v>
      </c>
    </row>
    <row r="344" spans="1:18" x14ac:dyDescent="0.3">
      <c r="A344">
        <v>1343</v>
      </c>
      <c r="B344" s="3">
        <v>45975</v>
      </c>
      <c r="C344" s="3">
        <v>45978</v>
      </c>
      <c r="D344" t="s">
        <v>204</v>
      </c>
      <c r="E344" t="s">
        <v>820</v>
      </c>
      <c r="F344" t="s">
        <v>46</v>
      </c>
      <c r="G344" t="s">
        <v>118</v>
      </c>
      <c r="H344" t="s">
        <v>118</v>
      </c>
      <c r="I344" t="s">
        <v>34</v>
      </c>
      <c r="J344" t="s">
        <v>35</v>
      </c>
      <c r="K344" t="s">
        <v>42</v>
      </c>
      <c r="L344" t="s">
        <v>821</v>
      </c>
      <c r="M344" s="1">
        <v>16127.62</v>
      </c>
      <c r="N344">
        <v>9</v>
      </c>
      <c r="O344" s="2">
        <v>0.1</v>
      </c>
      <c r="P344" s="1">
        <v>2376.67</v>
      </c>
      <c r="Q344" t="s">
        <v>27</v>
      </c>
      <c r="R344" t="s">
        <v>53</v>
      </c>
    </row>
    <row r="345" spans="1:18" x14ac:dyDescent="0.3">
      <c r="A345">
        <v>1344</v>
      </c>
      <c r="B345" s="3">
        <v>45333</v>
      </c>
      <c r="C345" s="3">
        <v>45334</v>
      </c>
      <c r="D345" t="s">
        <v>822</v>
      </c>
      <c r="E345" t="s">
        <v>470</v>
      </c>
      <c r="F345" t="s">
        <v>31</v>
      </c>
      <c r="G345" t="s">
        <v>118</v>
      </c>
      <c r="H345" t="s">
        <v>118</v>
      </c>
      <c r="I345" t="s">
        <v>34</v>
      </c>
      <c r="J345" t="s">
        <v>64</v>
      </c>
      <c r="K345" t="s">
        <v>104</v>
      </c>
      <c r="L345" t="s">
        <v>823</v>
      </c>
      <c r="M345" s="1">
        <v>76795.78</v>
      </c>
      <c r="N345">
        <v>7</v>
      </c>
      <c r="O345" s="2">
        <v>0</v>
      </c>
      <c r="P345" s="1">
        <v>8108.46</v>
      </c>
      <c r="Q345" t="s">
        <v>67</v>
      </c>
      <c r="R345" t="s">
        <v>53</v>
      </c>
    </row>
    <row r="346" spans="1:18" x14ac:dyDescent="0.3">
      <c r="A346">
        <v>1345</v>
      </c>
      <c r="B346" s="3">
        <v>45812</v>
      </c>
      <c r="C346" s="3">
        <v>45815</v>
      </c>
      <c r="D346" t="s">
        <v>658</v>
      </c>
      <c r="E346" t="s">
        <v>824</v>
      </c>
      <c r="F346" t="s">
        <v>46</v>
      </c>
      <c r="G346" t="s">
        <v>70</v>
      </c>
      <c r="H346" t="s">
        <v>71</v>
      </c>
      <c r="I346" t="s">
        <v>58</v>
      </c>
      <c r="J346" t="s">
        <v>35</v>
      </c>
      <c r="K346" t="s">
        <v>59</v>
      </c>
      <c r="L346" t="s">
        <v>825</v>
      </c>
      <c r="M346" s="1">
        <v>10150.870000000001</v>
      </c>
      <c r="N346">
        <v>2</v>
      </c>
      <c r="O346" s="2">
        <v>0.3</v>
      </c>
      <c r="P346" s="1">
        <v>574.65</v>
      </c>
      <c r="Q346" t="s">
        <v>67</v>
      </c>
      <c r="R346" t="s">
        <v>28</v>
      </c>
    </row>
    <row r="347" spans="1:18" x14ac:dyDescent="0.3">
      <c r="A347">
        <v>1346</v>
      </c>
      <c r="B347" s="3">
        <v>45604</v>
      </c>
      <c r="C347" s="3">
        <v>45609</v>
      </c>
      <c r="D347" t="s">
        <v>826</v>
      </c>
      <c r="E347" t="s">
        <v>486</v>
      </c>
      <c r="F347" t="s">
        <v>31</v>
      </c>
      <c r="G347" t="s">
        <v>118</v>
      </c>
      <c r="H347" t="s">
        <v>118</v>
      </c>
      <c r="I347" t="s">
        <v>34</v>
      </c>
      <c r="J347" t="s">
        <v>35</v>
      </c>
      <c r="K347" t="s">
        <v>129</v>
      </c>
      <c r="L347" t="s">
        <v>827</v>
      </c>
      <c r="M347" s="1">
        <v>68758.87</v>
      </c>
      <c r="N347">
        <v>5</v>
      </c>
      <c r="O347" s="2">
        <v>0.05</v>
      </c>
      <c r="P347" s="1">
        <v>7072.81</v>
      </c>
      <c r="Q347" t="s">
        <v>67</v>
      </c>
      <c r="R347" t="s">
        <v>120</v>
      </c>
    </row>
    <row r="348" spans="1:18" x14ac:dyDescent="0.3">
      <c r="A348">
        <v>1347</v>
      </c>
      <c r="B348" s="3">
        <v>45315</v>
      </c>
      <c r="C348" s="3">
        <v>45316</v>
      </c>
      <c r="D348" t="s">
        <v>121</v>
      </c>
      <c r="E348" t="s">
        <v>257</v>
      </c>
      <c r="F348" t="s">
        <v>31</v>
      </c>
      <c r="G348" t="s">
        <v>21</v>
      </c>
      <c r="H348" t="s">
        <v>22</v>
      </c>
      <c r="I348" t="s">
        <v>23</v>
      </c>
      <c r="J348" t="s">
        <v>24</v>
      </c>
      <c r="K348" t="s">
        <v>212</v>
      </c>
      <c r="L348" t="s">
        <v>828</v>
      </c>
      <c r="M348" s="1">
        <v>68866.87</v>
      </c>
      <c r="N348">
        <v>2</v>
      </c>
      <c r="O348" s="2">
        <v>0</v>
      </c>
      <c r="P348" s="1">
        <v>7017.45</v>
      </c>
      <c r="Q348" t="s">
        <v>52</v>
      </c>
      <c r="R348" t="s">
        <v>53</v>
      </c>
    </row>
    <row r="349" spans="1:18" x14ac:dyDescent="0.3">
      <c r="A349">
        <v>1348</v>
      </c>
      <c r="B349" s="3">
        <v>45618</v>
      </c>
      <c r="C349" s="3">
        <v>45621</v>
      </c>
      <c r="D349" t="s">
        <v>829</v>
      </c>
      <c r="E349" t="s">
        <v>639</v>
      </c>
      <c r="F349" t="s">
        <v>31</v>
      </c>
      <c r="G349" t="s">
        <v>21</v>
      </c>
      <c r="H349" t="s">
        <v>22</v>
      </c>
      <c r="I349" t="s">
        <v>23</v>
      </c>
      <c r="J349" t="s">
        <v>64</v>
      </c>
      <c r="K349" t="s">
        <v>188</v>
      </c>
      <c r="L349" t="s">
        <v>830</v>
      </c>
      <c r="M349" s="1">
        <v>16277.36</v>
      </c>
      <c r="N349">
        <v>6</v>
      </c>
      <c r="O349" s="2">
        <v>0.2</v>
      </c>
      <c r="P349" s="1">
        <v>2519.2199999999998</v>
      </c>
      <c r="Q349" t="s">
        <v>52</v>
      </c>
      <c r="R349" t="s">
        <v>53</v>
      </c>
    </row>
    <row r="350" spans="1:18" x14ac:dyDescent="0.3">
      <c r="A350">
        <v>1349</v>
      </c>
      <c r="B350" s="3">
        <v>45328</v>
      </c>
      <c r="C350" s="3">
        <v>45334</v>
      </c>
      <c r="D350" t="s">
        <v>137</v>
      </c>
      <c r="E350" t="s">
        <v>89</v>
      </c>
      <c r="F350" t="s">
        <v>31</v>
      </c>
      <c r="G350" t="s">
        <v>118</v>
      </c>
      <c r="H350" t="s">
        <v>118</v>
      </c>
      <c r="I350" t="s">
        <v>34</v>
      </c>
      <c r="J350" t="s">
        <v>35</v>
      </c>
      <c r="K350" t="s">
        <v>42</v>
      </c>
      <c r="L350" t="s">
        <v>831</v>
      </c>
      <c r="M350" s="1">
        <v>87238.24</v>
      </c>
      <c r="N350">
        <v>1</v>
      </c>
      <c r="O350" s="2">
        <v>0.25</v>
      </c>
      <c r="P350" s="1">
        <v>11120.1</v>
      </c>
      <c r="Q350" t="s">
        <v>52</v>
      </c>
      <c r="R350" t="s">
        <v>28</v>
      </c>
    </row>
    <row r="351" spans="1:18" x14ac:dyDescent="0.3">
      <c r="A351">
        <v>1350</v>
      </c>
      <c r="B351" s="3">
        <v>45326</v>
      </c>
      <c r="C351" s="3">
        <v>45328</v>
      </c>
      <c r="D351" t="s">
        <v>295</v>
      </c>
      <c r="E351" t="s">
        <v>328</v>
      </c>
      <c r="F351" t="s">
        <v>46</v>
      </c>
      <c r="G351" t="s">
        <v>47</v>
      </c>
      <c r="H351" t="s">
        <v>48</v>
      </c>
      <c r="I351" t="s">
        <v>49</v>
      </c>
      <c r="J351" t="s">
        <v>35</v>
      </c>
      <c r="K351" t="s">
        <v>36</v>
      </c>
      <c r="L351" t="s">
        <v>832</v>
      </c>
      <c r="M351" s="1">
        <v>25067.05</v>
      </c>
      <c r="N351">
        <v>4</v>
      </c>
      <c r="O351" s="2">
        <v>0.1</v>
      </c>
      <c r="P351" s="1">
        <v>6305.05</v>
      </c>
      <c r="Q351" t="s">
        <v>27</v>
      </c>
      <c r="R351" t="s">
        <v>39</v>
      </c>
    </row>
    <row r="352" spans="1:18" x14ac:dyDescent="0.3">
      <c r="A352">
        <v>1351</v>
      </c>
      <c r="B352" s="3">
        <v>45644</v>
      </c>
      <c r="C352" s="3">
        <v>45649</v>
      </c>
      <c r="D352" t="s">
        <v>44</v>
      </c>
      <c r="E352" t="s">
        <v>833</v>
      </c>
      <c r="F352" t="s">
        <v>31</v>
      </c>
      <c r="G352" t="s">
        <v>32</v>
      </c>
      <c r="H352" t="s">
        <v>33</v>
      </c>
      <c r="I352" t="s">
        <v>34</v>
      </c>
      <c r="J352" t="s">
        <v>24</v>
      </c>
      <c r="K352" t="s">
        <v>25</v>
      </c>
      <c r="L352" t="s">
        <v>834</v>
      </c>
      <c r="M352" s="1">
        <v>82787.91</v>
      </c>
      <c r="N352">
        <v>4</v>
      </c>
      <c r="O352" s="2">
        <v>0.05</v>
      </c>
      <c r="P352" s="1">
        <v>14032.73</v>
      </c>
      <c r="Q352" t="s">
        <v>52</v>
      </c>
      <c r="R352" t="s">
        <v>53</v>
      </c>
    </row>
    <row r="353" spans="1:18" x14ac:dyDescent="0.3">
      <c r="A353">
        <v>1352</v>
      </c>
      <c r="B353" s="3">
        <v>45799</v>
      </c>
      <c r="C353" s="3">
        <v>45800</v>
      </c>
      <c r="D353" t="s">
        <v>137</v>
      </c>
      <c r="E353" t="s">
        <v>290</v>
      </c>
      <c r="F353" t="s">
        <v>31</v>
      </c>
      <c r="G353" t="s">
        <v>107</v>
      </c>
      <c r="H353" t="s">
        <v>108</v>
      </c>
      <c r="I353" t="s">
        <v>34</v>
      </c>
      <c r="J353" t="s">
        <v>35</v>
      </c>
      <c r="K353" t="s">
        <v>59</v>
      </c>
      <c r="L353" t="s">
        <v>835</v>
      </c>
      <c r="M353" s="1">
        <v>3135.45</v>
      </c>
      <c r="N353">
        <v>6</v>
      </c>
      <c r="O353" s="2">
        <v>0.15</v>
      </c>
      <c r="P353" s="1">
        <v>143.58000000000001</v>
      </c>
      <c r="Q353" t="s">
        <v>67</v>
      </c>
      <c r="R353" t="s">
        <v>28</v>
      </c>
    </row>
    <row r="354" spans="1:18" x14ac:dyDescent="0.3">
      <c r="A354">
        <v>1353</v>
      </c>
      <c r="B354" s="3">
        <v>45831</v>
      </c>
      <c r="C354" s="3">
        <v>45834</v>
      </c>
      <c r="D354" t="s">
        <v>491</v>
      </c>
      <c r="E354" t="s">
        <v>470</v>
      </c>
      <c r="F354" t="s">
        <v>46</v>
      </c>
      <c r="G354" t="s">
        <v>32</v>
      </c>
      <c r="H354" t="s">
        <v>33</v>
      </c>
      <c r="I354" t="s">
        <v>34</v>
      </c>
      <c r="J354" t="s">
        <v>35</v>
      </c>
      <c r="K354" t="s">
        <v>129</v>
      </c>
      <c r="L354" t="s">
        <v>836</v>
      </c>
      <c r="M354" s="1">
        <v>49247.81</v>
      </c>
      <c r="N354">
        <v>4</v>
      </c>
      <c r="O354" s="2">
        <v>0.25</v>
      </c>
      <c r="P354" s="1">
        <v>1542.16</v>
      </c>
      <c r="Q354" t="s">
        <v>67</v>
      </c>
      <c r="R354" t="s">
        <v>39</v>
      </c>
    </row>
    <row r="355" spans="1:18" x14ac:dyDescent="0.3">
      <c r="A355">
        <v>1354</v>
      </c>
      <c r="B355" s="3">
        <v>45923</v>
      </c>
      <c r="C355" s="3">
        <v>45928</v>
      </c>
      <c r="D355" t="s">
        <v>62</v>
      </c>
      <c r="E355" t="s">
        <v>742</v>
      </c>
      <c r="F355" t="s">
        <v>46</v>
      </c>
      <c r="G355" t="s">
        <v>21</v>
      </c>
      <c r="H355" t="s">
        <v>22</v>
      </c>
      <c r="I355" t="s">
        <v>23</v>
      </c>
      <c r="J355" t="s">
        <v>35</v>
      </c>
      <c r="K355" t="s">
        <v>59</v>
      </c>
      <c r="L355" t="s">
        <v>837</v>
      </c>
      <c r="M355" s="1">
        <v>8333.42</v>
      </c>
      <c r="N355">
        <v>6</v>
      </c>
      <c r="O355" s="2">
        <v>0.1</v>
      </c>
      <c r="P355" s="1">
        <v>1939.66</v>
      </c>
      <c r="Q355" t="s">
        <v>82</v>
      </c>
      <c r="R355" t="s">
        <v>39</v>
      </c>
    </row>
    <row r="356" spans="1:18" x14ac:dyDescent="0.3">
      <c r="A356">
        <v>1355</v>
      </c>
      <c r="B356" s="3">
        <v>45779</v>
      </c>
      <c r="C356" s="3">
        <v>45783</v>
      </c>
      <c r="D356" t="s">
        <v>636</v>
      </c>
      <c r="E356" t="s">
        <v>419</v>
      </c>
      <c r="F356" t="s">
        <v>31</v>
      </c>
      <c r="G356" t="s">
        <v>107</v>
      </c>
      <c r="H356" t="s">
        <v>108</v>
      </c>
      <c r="I356" t="s">
        <v>34</v>
      </c>
      <c r="J356" t="s">
        <v>35</v>
      </c>
      <c r="K356" t="s">
        <v>36</v>
      </c>
      <c r="L356" t="s">
        <v>838</v>
      </c>
      <c r="M356" s="1">
        <v>89667.75</v>
      </c>
      <c r="N356">
        <v>1</v>
      </c>
      <c r="O356" s="2">
        <v>0</v>
      </c>
      <c r="P356" s="1">
        <v>17311.759999999998</v>
      </c>
      <c r="Q356" t="s">
        <v>67</v>
      </c>
      <c r="R356" t="s">
        <v>120</v>
      </c>
    </row>
    <row r="357" spans="1:18" x14ac:dyDescent="0.3">
      <c r="A357">
        <v>1356</v>
      </c>
      <c r="B357" s="3">
        <v>45661</v>
      </c>
      <c r="C357" s="3">
        <v>45662</v>
      </c>
      <c r="D357" t="s">
        <v>839</v>
      </c>
      <c r="E357" t="s">
        <v>371</v>
      </c>
      <c r="F357" t="s">
        <v>20</v>
      </c>
      <c r="G357" t="s">
        <v>95</v>
      </c>
      <c r="H357" t="s">
        <v>22</v>
      </c>
      <c r="I357" t="s">
        <v>23</v>
      </c>
      <c r="J357" t="s">
        <v>35</v>
      </c>
      <c r="K357" t="s">
        <v>129</v>
      </c>
      <c r="L357" t="s">
        <v>840</v>
      </c>
      <c r="M357" s="1">
        <v>74964.75</v>
      </c>
      <c r="N357">
        <v>8</v>
      </c>
      <c r="O357" s="2">
        <v>0.1</v>
      </c>
      <c r="P357" s="1">
        <v>9125.15</v>
      </c>
      <c r="Q357" t="s">
        <v>67</v>
      </c>
      <c r="R357" t="s">
        <v>53</v>
      </c>
    </row>
    <row r="358" spans="1:18" x14ac:dyDescent="0.3">
      <c r="A358">
        <v>1357</v>
      </c>
      <c r="B358" s="3">
        <v>46009</v>
      </c>
      <c r="C358" s="3">
        <v>46011</v>
      </c>
      <c r="D358" t="s">
        <v>199</v>
      </c>
      <c r="E358" t="s">
        <v>841</v>
      </c>
      <c r="F358" t="s">
        <v>20</v>
      </c>
      <c r="G358" t="s">
        <v>102</v>
      </c>
      <c r="H358" t="s">
        <v>103</v>
      </c>
      <c r="I358" t="s">
        <v>58</v>
      </c>
      <c r="J358" t="s">
        <v>64</v>
      </c>
      <c r="K358" t="s">
        <v>104</v>
      </c>
      <c r="L358" t="s">
        <v>842</v>
      </c>
      <c r="M358" s="1">
        <v>12092.05</v>
      </c>
      <c r="N358">
        <v>2</v>
      </c>
      <c r="O358" s="2">
        <v>0.3</v>
      </c>
      <c r="P358" s="1">
        <v>-2.89</v>
      </c>
      <c r="Q358" t="s">
        <v>27</v>
      </c>
      <c r="R358" t="s">
        <v>28</v>
      </c>
    </row>
    <row r="359" spans="1:18" x14ac:dyDescent="0.3">
      <c r="A359">
        <v>1358</v>
      </c>
      <c r="B359" s="3">
        <v>45353</v>
      </c>
      <c r="C359" s="3">
        <v>45356</v>
      </c>
      <c r="D359" t="s">
        <v>605</v>
      </c>
      <c r="E359" t="s">
        <v>76</v>
      </c>
      <c r="F359" t="s">
        <v>31</v>
      </c>
      <c r="G359" t="s">
        <v>21</v>
      </c>
      <c r="H359" t="s">
        <v>22</v>
      </c>
      <c r="I359" t="s">
        <v>23</v>
      </c>
      <c r="J359" t="s">
        <v>35</v>
      </c>
      <c r="K359" t="s">
        <v>36</v>
      </c>
      <c r="L359" t="s">
        <v>843</v>
      </c>
      <c r="M359" s="1">
        <v>49188.01</v>
      </c>
      <c r="N359">
        <v>1</v>
      </c>
      <c r="O359" s="2">
        <v>0.2</v>
      </c>
      <c r="P359" s="1">
        <v>1952.63</v>
      </c>
      <c r="Q359" t="s">
        <v>61</v>
      </c>
      <c r="R359" t="s">
        <v>120</v>
      </c>
    </row>
    <row r="360" spans="1:18" x14ac:dyDescent="0.3">
      <c r="A360">
        <v>1359</v>
      </c>
      <c r="B360" s="3">
        <v>45293</v>
      </c>
      <c r="C360" s="3">
        <v>45294</v>
      </c>
      <c r="D360" t="s">
        <v>732</v>
      </c>
      <c r="E360" t="s">
        <v>55</v>
      </c>
      <c r="F360" t="s">
        <v>46</v>
      </c>
      <c r="G360" t="s">
        <v>102</v>
      </c>
      <c r="H360" t="s">
        <v>103</v>
      </c>
      <c r="I360" t="s">
        <v>58</v>
      </c>
      <c r="J360" t="s">
        <v>24</v>
      </c>
      <c r="K360" t="s">
        <v>72</v>
      </c>
      <c r="L360" t="s">
        <v>844</v>
      </c>
      <c r="M360" s="1">
        <v>12287.74</v>
      </c>
      <c r="N360">
        <v>5</v>
      </c>
      <c r="O360" s="2">
        <v>0.2</v>
      </c>
      <c r="P360" s="1">
        <v>1476.59</v>
      </c>
      <c r="Q360" t="s">
        <v>115</v>
      </c>
      <c r="R360" t="s">
        <v>39</v>
      </c>
    </row>
    <row r="361" spans="1:18" x14ac:dyDescent="0.3">
      <c r="A361">
        <v>1360</v>
      </c>
      <c r="B361" s="3">
        <v>45578</v>
      </c>
      <c r="C361" s="3">
        <v>45580</v>
      </c>
      <c r="D361" t="s">
        <v>275</v>
      </c>
      <c r="E361" t="s">
        <v>132</v>
      </c>
      <c r="F361" t="s">
        <v>31</v>
      </c>
      <c r="G361" t="s">
        <v>118</v>
      </c>
      <c r="H361" t="s">
        <v>118</v>
      </c>
      <c r="I361" t="s">
        <v>34</v>
      </c>
      <c r="J361" t="s">
        <v>64</v>
      </c>
      <c r="K361" t="s">
        <v>188</v>
      </c>
      <c r="L361" t="s">
        <v>845</v>
      </c>
      <c r="M361" s="1">
        <v>9923.2199999999993</v>
      </c>
      <c r="N361">
        <v>10</v>
      </c>
      <c r="O361" s="2">
        <v>0.3</v>
      </c>
      <c r="P361" s="1">
        <v>-333.8</v>
      </c>
      <c r="Q361" t="s">
        <v>67</v>
      </c>
      <c r="R361" t="s">
        <v>28</v>
      </c>
    </row>
    <row r="362" spans="1:18" x14ac:dyDescent="0.3">
      <c r="A362">
        <v>1361</v>
      </c>
      <c r="B362" s="3">
        <v>45319</v>
      </c>
      <c r="C362" s="3">
        <v>45320</v>
      </c>
      <c r="D362" t="s">
        <v>515</v>
      </c>
      <c r="E362" t="s">
        <v>303</v>
      </c>
      <c r="F362" t="s">
        <v>31</v>
      </c>
      <c r="G362" t="s">
        <v>47</v>
      </c>
      <c r="H362" t="s">
        <v>48</v>
      </c>
      <c r="I362" t="s">
        <v>49</v>
      </c>
      <c r="J362" t="s">
        <v>35</v>
      </c>
      <c r="K362" t="s">
        <v>42</v>
      </c>
      <c r="L362" t="s">
        <v>320</v>
      </c>
      <c r="M362" s="1">
        <v>41292.81</v>
      </c>
      <c r="N362">
        <v>2</v>
      </c>
      <c r="O362" s="2">
        <v>0.25</v>
      </c>
      <c r="P362" s="1">
        <v>4106.78</v>
      </c>
      <c r="Q362" t="s">
        <v>52</v>
      </c>
      <c r="R362" t="s">
        <v>120</v>
      </c>
    </row>
    <row r="363" spans="1:18" x14ac:dyDescent="0.3">
      <c r="A363">
        <v>1362</v>
      </c>
      <c r="B363" s="3">
        <v>45528</v>
      </c>
      <c r="C363" s="3">
        <v>45533</v>
      </c>
      <c r="D363" t="s">
        <v>846</v>
      </c>
      <c r="E363" t="s">
        <v>847</v>
      </c>
      <c r="F363" t="s">
        <v>31</v>
      </c>
      <c r="G363" t="s">
        <v>118</v>
      </c>
      <c r="H363" t="s">
        <v>118</v>
      </c>
      <c r="I363" t="s">
        <v>34</v>
      </c>
      <c r="J363" t="s">
        <v>64</v>
      </c>
      <c r="K363" t="s">
        <v>157</v>
      </c>
      <c r="L363" t="s">
        <v>848</v>
      </c>
      <c r="M363" s="1">
        <v>56003.22</v>
      </c>
      <c r="N363">
        <v>8</v>
      </c>
      <c r="O363" s="2">
        <v>0</v>
      </c>
      <c r="P363" s="1">
        <v>13954.31</v>
      </c>
      <c r="Q363" t="s">
        <v>67</v>
      </c>
      <c r="R363" t="s">
        <v>39</v>
      </c>
    </row>
    <row r="364" spans="1:18" x14ac:dyDescent="0.3">
      <c r="A364">
        <v>1363</v>
      </c>
      <c r="B364" s="3">
        <v>45449</v>
      </c>
      <c r="C364" s="3">
        <v>45452</v>
      </c>
      <c r="D364" t="s">
        <v>515</v>
      </c>
      <c r="E364" t="s">
        <v>719</v>
      </c>
      <c r="F364" t="s">
        <v>46</v>
      </c>
      <c r="G364" t="s">
        <v>32</v>
      </c>
      <c r="H364" t="s">
        <v>33</v>
      </c>
      <c r="I364" t="s">
        <v>34</v>
      </c>
      <c r="J364" t="s">
        <v>24</v>
      </c>
      <c r="K364" t="s">
        <v>72</v>
      </c>
      <c r="L364" t="s">
        <v>849</v>
      </c>
      <c r="M364" s="1">
        <v>15994.52</v>
      </c>
      <c r="N364">
        <v>1</v>
      </c>
      <c r="O364" s="2">
        <v>0</v>
      </c>
      <c r="P364" s="1">
        <v>3301.36</v>
      </c>
      <c r="Q364" t="s">
        <v>67</v>
      </c>
      <c r="R364" t="s">
        <v>28</v>
      </c>
    </row>
    <row r="365" spans="1:18" x14ac:dyDescent="0.3">
      <c r="A365">
        <v>1364</v>
      </c>
      <c r="B365" s="3">
        <v>45783</v>
      </c>
      <c r="C365" s="3">
        <v>45787</v>
      </c>
      <c r="D365" t="s">
        <v>558</v>
      </c>
      <c r="E365" t="s">
        <v>733</v>
      </c>
      <c r="F365" t="s">
        <v>31</v>
      </c>
      <c r="G365" t="s">
        <v>70</v>
      </c>
      <c r="H365" t="s">
        <v>71</v>
      </c>
      <c r="I365" t="s">
        <v>58</v>
      </c>
      <c r="J365" t="s">
        <v>64</v>
      </c>
      <c r="K365" t="s">
        <v>80</v>
      </c>
      <c r="L365" t="s">
        <v>850</v>
      </c>
      <c r="M365" s="1">
        <v>43154.65</v>
      </c>
      <c r="N365">
        <v>4</v>
      </c>
      <c r="O365" s="2">
        <v>0.25</v>
      </c>
      <c r="P365" s="1">
        <v>8051.21</v>
      </c>
      <c r="Q365" t="s">
        <v>115</v>
      </c>
      <c r="R365" t="s">
        <v>53</v>
      </c>
    </row>
    <row r="366" spans="1:18" x14ac:dyDescent="0.3">
      <c r="A366">
        <v>1365</v>
      </c>
      <c r="B366" s="3">
        <v>45488</v>
      </c>
      <c r="C366" s="3">
        <v>45489</v>
      </c>
      <c r="D366" t="s">
        <v>611</v>
      </c>
      <c r="E366" t="s">
        <v>682</v>
      </c>
      <c r="F366" t="s">
        <v>46</v>
      </c>
      <c r="G366" t="s">
        <v>90</v>
      </c>
      <c r="H366" t="s">
        <v>91</v>
      </c>
      <c r="I366" t="s">
        <v>23</v>
      </c>
      <c r="J366" t="s">
        <v>64</v>
      </c>
      <c r="K366" t="s">
        <v>188</v>
      </c>
      <c r="L366" t="s">
        <v>851</v>
      </c>
      <c r="M366" s="1">
        <v>21189.15</v>
      </c>
      <c r="N366">
        <v>9</v>
      </c>
      <c r="O366" s="2">
        <v>0.25</v>
      </c>
      <c r="P366" s="1">
        <v>3872.79</v>
      </c>
      <c r="Q366" t="s">
        <v>27</v>
      </c>
      <c r="R366" t="s">
        <v>39</v>
      </c>
    </row>
    <row r="367" spans="1:18" x14ac:dyDescent="0.3">
      <c r="A367">
        <v>1366</v>
      </c>
      <c r="B367" s="3">
        <v>45339</v>
      </c>
      <c r="C367" s="3">
        <v>45340</v>
      </c>
      <c r="D367" t="s">
        <v>852</v>
      </c>
      <c r="E367" t="s">
        <v>419</v>
      </c>
      <c r="F367" t="s">
        <v>20</v>
      </c>
      <c r="G367" t="s">
        <v>118</v>
      </c>
      <c r="H367" t="s">
        <v>118</v>
      </c>
      <c r="I367" t="s">
        <v>34</v>
      </c>
      <c r="J367" t="s">
        <v>35</v>
      </c>
      <c r="K367" t="s">
        <v>59</v>
      </c>
      <c r="L367" t="s">
        <v>853</v>
      </c>
      <c r="M367" s="1">
        <v>30725.48</v>
      </c>
      <c r="N367">
        <v>4</v>
      </c>
      <c r="O367" s="2">
        <v>0.05</v>
      </c>
      <c r="P367" s="1">
        <v>6876.79</v>
      </c>
      <c r="Q367" t="s">
        <v>82</v>
      </c>
      <c r="R367" t="s">
        <v>39</v>
      </c>
    </row>
    <row r="368" spans="1:18" x14ac:dyDescent="0.3">
      <c r="A368">
        <v>1367</v>
      </c>
      <c r="B368" s="3">
        <v>45703</v>
      </c>
      <c r="C368" s="3">
        <v>45706</v>
      </c>
      <c r="D368" t="s">
        <v>854</v>
      </c>
      <c r="E368" t="s">
        <v>338</v>
      </c>
      <c r="F368" t="s">
        <v>31</v>
      </c>
      <c r="G368" t="s">
        <v>70</v>
      </c>
      <c r="H368" t="s">
        <v>71</v>
      </c>
      <c r="I368" t="s">
        <v>58</v>
      </c>
      <c r="J368" t="s">
        <v>64</v>
      </c>
      <c r="K368" t="s">
        <v>80</v>
      </c>
      <c r="L368" t="s">
        <v>855</v>
      </c>
      <c r="M368" s="1">
        <v>28901.02</v>
      </c>
      <c r="N368">
        <v>1</v>
      </c>
      <c r="O368" s="2">
        <v>0.1</v>
      </c>
      <c r="P368" s="1">
        <v>1380.51</v>
      </c>
      <c r="Q368" t="s">
        <v>67</v>
      </c>
      <c r="R368" t="s">
        <v>39</v>
      </c>
    </row>
    <row r="369" spans="1:18" x14ac:dyDescent="0.3">
      <c r="A369">
        <v>1368</v>
      </c>
      <c r="B369" s="3">
        <v>45420</v>
      </c>
      <c r="C369" s="3">
        <v>45425</v>
      </c>
      <c r="D369" t="s">
        <v>330</v>
      </c>
      <c r="E369" t="s">
        <v>98</v>
      </c>
      <c r="F369" t="s">
        <v>46</v>
      </c>
      <c r="G369" t="s">
        <v>85</v>
      </c>
      <c r="H369" t="s">
        <v>86</v>
      </c>
      <c r="I369" t="s">
        <v>49</v>
      </c>
      <c r="J369" t="s">
        <v>24</v>
      </c>
      <c r="K369" t="s">
        <v>25</v>
      </c>
      <c r="L369" t="s">
        <v>856</v>
      </c>
      <c r="M369" s="1">
        <v>60876.74</v>
      </c>
      <c r="N369">
        <v>6</v>
      </c>
      <c r="O369" s="2">
        <v>0.25</v>
      </c>
      <c r="P369" s="1">
        <v>8155.61</v>
      </c>
      <c r="Q369" t="s">
        <v>67</v>
      </c>
      <c r="R369" t="s">
        <v>120</v>
      </c>
    </row>
    <row r="370" spans="1:18" x14ac:dyDescent="0.3">
      <c r="A370">
        <v>1369</v>
      </c>
      <c r="B370" s="3">
        <v>45307</v>
      </c>
      <c r="C370" s="3">
        <v>45310</v>
      </c>
      <c r="D370" t="s">
        <v>857</v>
      </c>
      <c r="E370" t="s">
        <v>858</v>
      </c>
      <c r="F370" t="s">
        <v>31</v>
      </c>
      <c r="G370" t="s">
        <v>112</v>
      </c>
      <c r="H370" t="s">
        <v>113</v>
      </c>
      <c r="I370" t="s">
        <v>49</v>
      </c>
      <c r="J370" t="s">
        <v>64</v>
      </c>
      <c r="K370" t="s">
        <v>157</v>
      </c>
      <c r="L370" t="s">
        <v>859</v>
      </c>
      <c r="M370" s="1">
        <v>31408.78</v>
      </c>
      <c r="N370">
        <v>7</v>
      </c>
      <c r="O370" s="2">
        <v>0.3</v>
      </c>
      <c r="P370" s="1">
        <v>4259.49</v>
      </c>
      <c r="Q370" t="s">
        <v>52</v>
      </c>
      <c r="R370" t="s">
        <v>120</v>
      </c>
    </row>
    <row r="371" spans="1:18" x14ac:dyDescent="0.3">
      <c r="A371">
        <v>1370</v>
      </c>
      <c r="B371" s="3">
        <v>45301</v>
      </c>
      <c r="C371" s="3">
        <v>45304</v>
      </c>
      <c r="D371" t="s">
        <v>860</v>
      </c>
      <c r="E371" t="s">
        <v>662</v>
      </c>
      <c r="F371" t="s">
        <v>31</v>
      </c>
      <c r="G371" t="s">
        <v>47</v>
      </c>
      <c r="H371" t="s">
        <v>48</v>
      </c>
      <c r="I371" t="s">
        <v>49</v>
      </c>
      <c r="J371" t="s">
        <v>24</v>
      </c>
      <c r="K371" t="s">
        <v>72</v>
      </c>
      <c r="L371" t="s">
        <v>861</v>
      </c>
      <c r="M371" s="1">
        <v>9458.1</v>
      </c>
      <c r="N371">
        <v>8</v>
      </c>
      <c r="O371" s="2">
        <v>0.3</v>
      </c>
      <c r="P371" s="1">
        <v>888.54</v>
      </c>
      <c r="Q371" t="s">
        <v>61</v>
      </c>
      <c r="R371" t="s">
        <v>28</v>
      </c>
    </row>
    <row r="372" spans="1:18" x14ac:dyDescent="0.3">
      <c r="A372">
        <v>1371</v>
      </c>
      <c r="B372" s="3">
        <v>45738</v>
      </c>
      <c r="C372" s="3">
        <v>45743</v>
      </c>
      <c r="D372" t="s">
        <v>289</v>
      </c>
      <c r="E372" t="s">
        <v>533</v>
      </c>
      <c r="F372" t="s">
        <v>20</v>
      </c>
      <c r="G372" t="s">
        <v>32</v>
      </c>
      <c r="H372" t="s">
        <v>33</v>
      </c>
      <c r="I372" t="s">
        <v>34</v>
      </c>
      <c r="J372" t="s">
        <v>35</v>
      </c>
      <c r="K372" t="s">
        <v>129</v>
      </c>
      <c r="L372" t="s">
        <v>862</v>
      </c>
      <c r="M372" s="1">
        <v>64483.46</v>
      </c>
      <c r="N372">
        <v>10</v>
      </c>
      <c r="O372" s="2">
        <v>0.05</v>
      </c>
      <c r="P372" s="1">
        <v>11155.7</v>
      </c>
      <c r="Q372" t="s">
        <v>61</v>
      </c>
      <c r="R372" t="s">
        <v>39</v>
      </c>
    </row>
    <row r="373" spans="1:18" x14ac:dyDescent="0.3">
      <c r="A373">
        <v>1372</v>
      </c>
      <c r="B373" s="3">
        <v>45382</v>
      </c>
      <c r="C373" s="3">
        <v>45385</v>
      </c>
      <c r="D373" t="s">
        <v>863</v>
      </c>
      <c r="E373" t="s">
        <v>864</v>
      </c>
      <c r="F373" t="s">
        <v>31</v>
      </c>
      <c r="G373" t="s">
        <v>102</v>
      </c>
      <c r="H373" t="s">
        <v>103</v>
      </c>
      <c r="I373" t="s">
        <v>58</v>
      </c>
      <c r="J373" t="s">
        <v>35</v>
      </c>
      <c r="K373" t="s">
        <v>42</v>
      </c>
      <c r="L373" t="s">
        <v>865</v>
      </c>
      <c r="M373" s="1">
        <v>49039.53</v>
      </c>
      <c r="N373">
        <v>2</v>
      </c>
      <c r="O373" s="2">
        <v>0.15</v>
      </c>
      <c r="P373" s="1">
        <v>7523.13</v>
      </c>
      <c r="Q373" t="s">
        <v>52</v>
      </c>
      <c r="R373" t="s">
        <v>53</v>
      </c>
    </row>
    <row r="374" spans="1:18" x14ac:dyDescent="0.3">
      <c r="A374">
        <v>1373</v>
      </c>
      <c r="B374" s="3">
        <v>45975</v>
      </c>
      <c r="C374" s="3">
        <v>45980</v>
      </c>
      <c r="D374" t="s">
        <v>866</v>
      </c>
      <c r="E374" t="s">
        <v>637</v>
      </c>
      <c r="F374" t="s">
        <v>31</v>
      </c>
      <c r="G374" t="s">
        <v>95</v>
      </c>
      <c r="H374" t="s">
        <v>22</v>
      </c>
      <c r="I374" t="s">
        <v>23</v>
      </c>
      <c r="J374" t="s">
        <v>64</v>
      </c>
      <c r="K374" t="s">
        <v>80</v>
      </c>
      <c r="L374" t="s">
        <v>867</v>
      </c>
      <c r="M374" s="1">
        <v>51301.38</v>
      </c>
      <c r="N374">
        <v>4</v>
      </c>
      <c r="O374" s="2">
        <v>0.05</v>
      </c>
      <c r="P374" s="1">
        <v>13817.44</v>
      </c>
      <c r="Q374" t="s">
        <v>38</v>
      </c>
      <c r="R374" t="s">
        <v>53</v>
      </c>
    </row>
    <row r="375" spans="1:18" x14ac:dyDescent="0.3">
      <c r="A375">
        <v>1374</v>
      </c>
      <c r="B375" s="3">
        <v>46013</v>
      </c>
      <c r="C375" s="3">
        <v>46014</v>
      </c>
      <c r="D375" t="s">
        <v>735</v>
      </c>
      <c r="E375" t="s">
        <v>868</v>
      </c>
      <c r="F375" t="s">
        <v>46</v>
      </c>
      <c r="G375" t="s">
        <v>56</v>
      </c>
      <c r="H375" t="s">
        <v>57</v>
      </c>
      <c r="I375" t="s">
        <v>58</v>
      </c>
      <c r="J375" t="s">
        <v>64</v>
      </c>
      <c r="K375" t="s">
        <v>188</v>
      </c>
      <c r="L375" t="s">
        <v>869</v>
      </c>
      <c r="M375" s="1">
        <v>53645.36</v>
      </c>
      <c r="N375">
        <v>3</v>
      </c>
      <c r="O375" s="2">
        <v>0.1</v>
      </c>
      <c r="P375" s="1">
        <v>13091.61</v>
      </c>
      <c r="Q375" t="s">
        <v>82</v>
      </c>
      <c r="R375" t="s">
        <v>53</v>
      </c>
    </row>
    <row r="376" spans="1:18" x14ac:dyDescent="0.3">
      <c r="A376">
        <v>1375</v>
      </c>
      <c r="B376" s="3">
        <v>45826</v>
      </c>
      <c r="C376" s="3">
        <v>45829</v>
      </c>
      <c r="D376" t="s">
        <v>870</v>
      </c>
      <c r="E376" t="s">
        <v>646</v>
      </c>
      <c r="F376" t="s">
        <v>46</v>
      </c>
      <c r="G376" t="s">
        <v>102</v>
      </c>
      <c r="H376" t="s">
        <v>103</v>
      </c>
      <c r="I376" t="s">
        <v>58</v>
      </c>
      <c r="J376" t="s">
        <v>64</v>
      </c>
      <c r="K376" t="s">
        <v>157</v>
      </c>
      <c r="L376" t="s">
        <v>871</v>
      </c>
      <c r="M376" s="1">
        <v>54616.480000000003</v>
      </c>
      <c r="N376">
        <v>2</v>
      </c>
      <c r="O376" s="2">
        <v>0.1</v>
      </c>
      <c r="P376" s="1">
        <v>6512.36</v>
      </c>
      <c r="Q376" t="s">
        <v>38</v>
      </c>
      <c r="R376" t="s">
        <v>39</v>
      </c>
    </row>
    <row r="377" spans="1:18" x14ac:dyDescent="0.3">
      <c r="A377">
        <v>1376</v>
      </c>
      <c r="B377" s="3">
        <v>45303</v>
      </c>
      <c r="C377" s="3">
        <v>45304</v>
      </c>
      <c r="D377" t="s">
        <v>807</v>
      </c>
      <c r="E377" t="s">
        <v>607</v>
      </c>
      <c r="F377" t="s">
        <v>20</v>
      </c>
      <c r="G377" t="s">
        <v>56</v>
      </c>
      <c r="H377" t="s">
        <v>57</v>
      </c>
      <c r="I377" t="s">
        <v>58</v>
      </c>
      <c r="J377" t="s">
        <v>35</v>
      </c>
      <c r="K377" t="s">
        <v>42</v>
      </c>
      <c r="L377" t="s">
        <v>872</v>
      </c>
      <c r="M377" s="1">
        <v>76222.38</v>
      </c>
      <c r="N377">
        <v>10</v>
      </c>
      <c r="O377" s="2">
        <v>0.3</v>
      </c>
      <c r="P377" s="1">
        <v>-237.58</v>
      </c>
      <c r="Q377" t="s">
        <v>52</v>
      </c>
      <c r="R377" t="s">
        <v>53</v>
      </c>
    </row>
    <row r="378" spans="1:18" x14ac:dyDescent="0.3">
      <c r="A378">
        <v>1377</v>
      </c>
      <c r="B378" s="3">
        <v>45554</v>
      </c>
      <c r="C378" s="3">
        <v>45557</v>
      </c>
      <c r="D378" t="s">
        <v>873</v>
      </c>
      <c r="E378" t="s">
        <v>740</v>
      </c>
      <c r="F378" t="s">
        <v>20</v>
      </c>
      <c r="G378" t="s">
        <v>70</v>
      </c>
      <c r="H378" t="s">
        <v>71</v>
      </c>
      <c r="I378" t="s">
        <v>58</v>
      </c>
      <c r="J378" t="s">
        <v>24</v>
      </c>
      <c r="K378" t="s">
        <v>224</v>
      </c>
      <c r="L378" t="s">
        <v>874</v>
      </c>
      <c r="M378" s="1">
        <v>51024.81</v>
      </c>
      <c r="N378">
        <v>1</v>
      </c>
      <c r="O378" s="2">
        <v>0.1</v>
      </c>
      <c r="P378" s="1">
        <v>13026.24</v>
      </c>
      <c r="Q378" t="s">
        <v>38</v>
      </c>
      <c r="R378" t="s">
        <v>39</v>
      </c>
    </row>
    <row r="379" spans="1:18" x14ac:dyDescent="0.3">
      <c r="A379">
        <v>1378</v>
      </c>
      <c r="B379" s="3">
        <v>45871</v>
      </c>
      <c r="C379" s="3">
        <v>45873</v>
      </c>
      <c r="D379" t="s">
        <v>190</v>
      </c>
      <c r="E379" t="s">
        <v>235</v>
      </c>
      <c r="F379" t="s">
        <v>46</v>
      </c>
      <c r="G379" t="s">
        <v>118</v>
      </c>
      <c r="H379" t="s">
        <v>118</v>
      </c>
      <c r="I379" t="s">
        <v>34</v>
      </c>
      <c r="J379" t="s">
        <v>64</v>
      </c>
      <c r="K379" t="s">
        <v>104</v>
      </c>
      <c r="L379" t="s">
        <v>875</v>
      </c>
      <c r="M379" s="1">
        <v>19005.64</v>
      </c>
      <c r="N379">
        <v>1</v>
      </c>
      <c r="O379" s="2">
        <v>0.2</v>
      </c>
      <c r="P379" s="1">
        <v>3295.43</v>
      </c>
      <c r="Q379" t="s">
        <v>115</v>
      </c>
      <c r="R379" t="s">
        <v>39</v>
      </c>
    </row>
    <row r="380" spans="1:18" x14ac:dyDescent="0.3">
      <c r="A380">
        <v>1379</v>
      </c>
      <c r="B380" s="3">
        <v>45556</v>
      </c>
      <c r="C380" s="3">
        <v>45561</v>
      </c>
      <c r="D380" t="s">
        <v>735</v>
      </c>
      <c r="E380" t="s">
        <v>876</v>
      </c>
      <c r="F380" t="s">
        <v>46</v>
      </c>
      <c r="G380" t="s">
        <v>32</v>
      </c>
      <c r="H380" t="s">
        <v>33</v>
      </c>
      <c r="I380" t="s">
        <v>34</v>
      </c>
      <c r="J380" t="s">
        <v>35</v>
      </c>
      <c r="K380" t="s">
        <v>42</v>
      </c>
      <c r="L380" t="s">
        <v>877</v>
      </c>
      <c r="M380" s="1">
        <v>60738.09</v>
      </c>
      <c r="N380">
        <v>2</v>
      </c>
      <c r="O380" s="2">
        <v>0</v>
      </c>
      <c r="P380" s="1">
        <v>8923.5400000000009</v>
      </c>
      <c r="Q380" t="s">
        <v>27</v>
      </c>
      <c r="R380" t="s">
        <v>120</v>
      </c>
    </row>
    <row r="381" spans="1:18" x14ac:dyDescent="0.3">
      <c r="A381">
        <v>1380</v>
      </c>
      <c r="B381" s="3">
        <v>45329</v>
      </c>
      <c r="C381" s="3">
        <v>45334</v>
      </c>
      <c r="D381" t="s">
        <v>267</v>
      </c>
      <c r="E381" t="s">
        <v>878</v>
      </c>
      <c r="F381" t="s">
        <v>20</v>
      </c>
      <c r="G381" t="s">
        <v>112</v>
      </c>
      <c r="H381" t="s">
        <v>113</v>
      </c>
      <c r="I381" t="s">
        <v>49</v>
      </c>
      <c r="J381" t="s">
        <v>24</v>
      </c>
      <c r="K381" t="s">
        <v>224</v>
      </c>
      <c r="L381" t="s">
        <v>879</v>
      </c>
      <c r="M381" s="1">
        <v>23577.78</v>
      </c>
      <c r="N381">
        <v>1</v>
      </c>
      <c r="O381" s="2">
        <v>0.3</v>
      </c>
      <c r="P381" s="1">
        <v>4107.21</v>
      </c>
      <c r="Q381" t="s">
        <v>27</v>
      </c>
      <c r="R381" t="s">
        <v>120</v>
      </c>
    </row>
    <row r="382" spans="1:18" x14ac:dyDescent="0.3">
      <c r="A382">
        <v>1381</v>
      </c>
      <c r="B382" s="3">
        <v>45547</v>
      </c>
      <c r="C382" s="3">
        <v>45550</v>
      </c>
      <c r="D382" t="s">
        <v>880</v>
      </c>
      <c r="E382" t="s">
        <v>281</v>
      </c>
      <c r="F382" t="s">
        <v>20</v>
      </c>
      <c r="G382" t="s">
        <v>32</v>
      </c>
      <c r="H382" t="s">
        <v>33</v>
      </c>
      <c r="I382" t="s">
        <v>34</v>
      </c>
      <c r="J382" t="s">
        <v>35</v>
      </c>
      <c r="K382" t="s">
        <v>129</v>
      </c>
      <c r="L382" t="s">
        <v>881</v>
      </c>
      <c r="M382" s="1">
        <v>33037.839999999997</v>
      </c>
      <c r="N382">
        <v>2</v>
      </c>
      <c r="O382" s="2">
        <v>0.3</v>
      </c>
      <c r="P382" s="1">
        <v>4626.9399999999996</v>
      </c>
      <c r="Q382" t="s">
        <v>82</v>
      </c>
      <c r="R382" t="s">
        <v>53</v>
      </c>
    </row>
    <row r="383" spans="1:18" x14ac:dyDescent="0.3">
      <c r="A383">
        <v>1382</v>
      </c>
      <c r="B383" s="3">
        <v>45818</v>
      </c>
      <c r="C383" s="3">
        <v>45820</v>
      </c>
      <c r="D383" t="s">
        <v>882</v>
      </c>
      <c r="E383" t="s">
        <v>649</v>
      </c>
      <c r="F383" t="s">
        <v>46</v>
      </c>
      <c r="G383" t="s">
        <v>21</v>
      </c>
      <c r="H383" t="s">
        <v>22</v>
      </c>
      <c r="I383" t="s">
        <v>23</v>
      </c>
      <c r="J383" t="s">
        <v>35</v>
      </c>
      <c r="K383" t="s">
        <v>59</v>
      </c>
      <c r="L383" t="s">
        <v>883</v>
      </c>
      <c r="M383" s="1">
        <v>76197.759999999995</v>
      </c>
      <c r="N383">
        <v>8</v>
      </c>
      <c r="O383" s="2">
        <v>0.25</v>
      </c>
      <c r="P383" s="1">
        <v>4471.1499999999996</v>
      </c>
      <c r="Q383" t="s">
        <v>38</v>
      </c>
      <c r="R383" t="s">
        <v>28</v>
      </c>
    </row>
    <row r="384" spans="1:18" x14ac:dyDescent="0.3">
      <c r="A384">
        <v>1383</v>
      </c>
      <c r="B384" s="3">
        <v>45867</v>
      </c>
      <c r="C384" s="3">
        <v>45872</v>
      </c>
      <c r="D384" t="s">
        <v>880</v>
      </c>
      <c r="E384" t="s">
        <v>816</v>
      </c>
      <c r="F384" t="s">
        <v>31</v>
      </c>
      <c r="G384" t="s">
        <v>118</v>
      </c>
      <c r="H384" t="s">
        <v>118</v>
      </c>
      <c r="I384" t="s">
        <v>34</v>
      </c>
      <c r="J384" t="s">
        <v>64</v>
      </c>
      <c r="K384" t="s">
        <v>80</v>
      </c>
      <c r="L384" t="s">
        <v>884</v>
      </c>
      <c r="M384" s="1">
        <v>68645.490000000005</v>
      </c>
      <c r="N384">
        <v>6</v>
      </c>
      <c r="O384" s="2">
        <v>0.2</v>
      </c>
      <c r="P384" s="1">
        <v>13777.24</v>
      </c>
      <c r="Q384" t="s">
        <v>38</v>
      </c>
      <c r="R384" t="s">
        <v>53</v>
      </c>
    </row>
    <row r="385" spans="1:18" x14ac:dyDescent="0.3">
      <c r="A385">
        <v>1384</v>
      </c>
      <c r="B385" s="3">
        <v>45690</v>
      </c>
      <c r="C385" s="3">
        <v>45694</v>
      </c>
      <c r="D385" t="s">
        <v>226</v>
      </c>
      <c r="E385" t="s">
        <v>885</v>
      </c>
      <c r="F385" t="s">
        <v>31</v>
      </c>
      <c r="G385" t="s">
        <v>70</v>
      </c>
      <c r="H385" t="s">
        <v>71</v>
      </c>
      <c r="I385" t="s">
        <v>58</v>
      </c>
      <c r="J385" t="s">
        <v>35</v>
      </c>
      <c r="K385" t="s">
        <v>42</v>
      </c>
      <c r="L385" t="s">
        <v>886</v>
      </c>
      <c r="M385" s="1">
        <v>40698.86</v>
      </c>
      <c r="N385">
        <v>3</v>
      </c>
      <c r="O385" s="2">
        <v>0.15</v>
      </c>
      <c r="P385" s="1">
        <v>8290.68</v>
      </c>
      <c r="Q385" t="s">
        <v>67</v>
      </c>
      <c r="R385" t="s">
        <v>120</v>
      </c>
    </row>
    <row r="386" spans="1:18" x14ac:dyDescent="0.3">
      <c r="A386">
        <v>1385</v>
      </c>
      <c r="B386" s="3">
        <v>45366</v>
      </c>
      <c r="C386" s="3">
        <v>45372</v>
      </c>
      <c r="D386" t="s">
        <v>552</v>
      </c>
      <c r="E386" t="s">
        <v>498</v>
      </c>
      <c r="F386" t="s">
        <v>20</v>
      </c>
      <c r="G386" t="s">
        <v>70</v>
      </c>
      <c r="H386" t="s">
        <v>71</v>
      </c>
      <c r="I386" t="s">
        <v>58</v>
      </c>
      <c r="J386" t="s">
        <v>35</v>
      </c>
      <c r="K386" t="s">
        <v>129</v>
      </c>
      <c r="L386" t="s">
        <v>887</v>
      </c>
      <c r="M386" s="1">
        <v>57628.82</v>
      </c>
      <c r="N386">
        <v>4</v>
      </c>
      <c r="O386" s="2">
        <v>0.05</v>
      </c>
      <c r="P386" s="1">
        <v>4620.5</v>
      </c>
      <c r="Q386" t="s">
        <v>61</v>
      </c>
      <c r="R386" t="s">
        <v>120</v>
      </c>
    </row>
    <row r="387" spans="1:18" x14ac:dyDescent="0.3">
      <c r="A387">
        <v>1386</v>
      </c>
      <c r="B387" s="3">
        <v>45439</v>
      </c>
      <c r="C387" s="3">
        <v>45443</v>
      </c>
      <c r="D387" t="s">
        <v>316</v>
      </c>
      <c r="E387" t="s">
        <v>812</v>
      </c>
      <c r="F387" t="s">
        <v>46</v>
      </c>
      <c r="G387" t="s">
        <v>118</v>
      </c>
      <c r="H387" t="s">
        <v>118</v>
      </c>
      <c r="I387" t="s">
        <v>34</v>
      </c>
      <c r="J387" t="s">
        <v>64</v>
      </c>
      <c r="K387" t="s">
        <v>65</v>
      </c>
      <c r="L387" t="s">
        <v>888</v>
      </c>
      <c r="M387" s="1">
        <v>18518.900000000001</v>
      </c>
      <c r="N387">
        <v>1</v>
      </c>
      <c r="O387" s="2">
        <v>0.05</v>
      </c>
      <c r="P387" s="1">
        <v>2100.23</v>
      </c>
      <c r="Q387" t="s">
        <v>38</v>
      </c>
      <c r="R387" t="s">
        <v>39</v>
      </c>
    </row>
    <row r="388" spans="1:18" x14ac:dyDescent="0.3">
      <c r="A388">
        <v>1387</v>
      </c>
      <c r="B388" s="3">
        <v>45902</v>
      </c>
      <c r="C388" s="3">
        <v>45907</v>
      </c>
      <c r="D388" t="s">
        <v>854</v>
      </c>
      <c r="E388" t="s">
        <v>889</v>
      </c>
      <c r="F388" t="s">
        <v>20</v>
      </c>
      <c r="G388" t="s">
        <v>85</v>
      </c>
      <c r="H388" t="s">
        <v>86</v>
      </c>
      <c r="I388" t="s">
        <v>49</v>
      </c>
      <c r="J388" t="s">
        <v>24</v>
      </c>
      <c r="K388" t="s">
        <v>50</v>
      </c>
      <c r="L388" t="s">
        <v>890</v>
      </c>
      <c r="M388" s="1">
        <v>4237.88</v>
      </c>
      <c r="N388">
        <v>2</v>
      </c>
      <c r="O388" s="2">
        <v>0.1</v>
      </c>
      <c r="P388" s="1">
        <v>289.02</v>
      </c>
      <c r="Q388" t="s">
        <v>74</v>
      </c>
      <c r="R388" t="s">
        <v>28</v>
      </c>
    </row>
    <row r="389" spans="1:18" x14ac:dyDescent="0.3">
      <c r="A389">
        <v>1388</v>
      </c>
      <c r="B389" s="3">
        <v>45667</v>
      </c>
      <c r="C389" s="3">
        <v>45669</v>
      </c>
      <c r="D389" t="s">
        <v>891</v>
      </c>
      <c r="E389" t="s">
        <v>805</v>
      </c>
      <c r="F389" t="s">
        <v>31</v>
      </c>
      <c r="G389" t="s">
        <v>70</v>
      </c>
      <c r="H389" t="s">
        <v>71</v>
      </c>
      <c r="I389" t="s">
        <v>58</v>
      </c>
      <c r="J389" t="s">
        <v>64</v>
      </c>
      <c r="K389" t="s">
        <v>157</v>
      </c>
      <c r="L389" t="s">
        <v>892</v>
      </c>
      <c r="M389" s="1">
        <v>71299.039999999994</v>
      </c>
      <c r="N389">
        <v>7</v>
      </c>
      <c r="O389" s="2">
        <v>0.1</v>
      </c>
      <c r="P389" s="1">
        <v>9666.24</v>
      </c>
      <c r="Q389" t="s">
        <v>74</v>
      </c>
      <c r="R389" t="s">
        <v>39</v>
      </c>
    </row>
    <row r="390" spans="1:18" x14ac:dyDescent="0.3">
      <c r="A390">
        <v>1389</v>
      </c>
      <c r="B390" s="3">
        <v>46010</v>
      </c>
      <c r="C390" s="3">
        <v>46012</v>
      </c>
      <c r="D390" t="s">
        <v>196</v>
      </c>
      <c r="E390" t="s">
        <v>394</v>
      </c>
      <c r="F390" t="s">
        <v>20</v>
      </c>
      <c r="G390" t="s">
        <v>70</v>
      </c>
      <c r="H390" t="s">
        <v>71</v>
      </c>
      <c r="I390" t="s">
        <v>58</v>
      </c>
      <c r="J390" t="s">
        <v>64</v>
      </c>
      <c r="K390" t="s">
        <v>188</v>
      </c>
      <c r="L390" t="s">
        <v>893</v>
      </c>
      <c r="M390" s="1">
        <v>49175.26</v>
      </c>
      <c r="N390">
        <v>4</v>
      </c>
      <c r="O390" s="2">
        <v>0.05</v>
      </c>
      <c r="P390" s="1">
        <v>6895.05</v>
      </c>
      <c r="Q390" t="s">
        <v>115</v>
      </c>
      <c r="R390" t="s">
        <v>39</v>
      </c>
    </row>
    <row r="391" spans="1:18" x14ac:dyDescent="0.3">
      <c r="A391">
        <v>1390</v>
      </c>
      <c r="B391" s="3">
        <v>45339</v>
      </c>
      <c r="C391" s="3">
        <v>45342</v>
      </c>
      <c r="D391" t="s">
        <v>822</v>
      </c>
      <c r="E391" t="s">
        <v>76</v>
      </c>
      <c r="F391" t="s">
        <v>31</v>
      </c>
      <c r="G391" t="s">
        <v>21</v>
      </c>
      <c r="H391" t="s">
        <v>22</v>
      </c>
      <c r="I391" t="s">
        <v>23</v>
      </c>
      <c r="J391" t="s">
        <v>24</v>
      </c>
      <c r="K391" t="s">
        <v>224</v>
      </c>
      <c r="L391" t="s">
        <v>894</v>
      </c>
      <c r="M391" s="1">
        <v>43164.88</v>
      </c>
      <c r="N391">
        <v>3</v>
      </c>
      <c r="O391" s="2">
        <v>0.05</v>
      </c>
      <c r="P391" s="1">
        <v>10719.13</v>
      </c>
      <c r="Q391" t="s">
        <v>52</v>
      </c>
      <c r="R391" t="s">
        <v>53</v>
      </c>
    </row>
    <row r="392" spans="1:18" x14ac:dyDescent="0.3">
      <c r="A392">
        <v>1391</v>
      </c>
      <c r="B392" s="3">
        <v>45814</v>
      </c>
      <c r="C392" s="3">
        <v>45820</v>
      </c>
      <c r="D392" t="s">
        <v>895</v>
      </c>
      <c r="E392" t="s">
        <v>896</v>
      </c>
      <c r="F392" t="s">
        <v>31</v>
      </c>
      <c r="G392" t="s">
        <v>95</v>
      </c>
      <c r="H392" t="s">
        <v>22</v>
      </c>
      <c r="I392" t="s">
        <v>23</v>
      </c>
      <c r="J392" t="s">
        <v>35</v>
      </c>
      <c r="K392" t="s">
        <v>36</v>
      </c>
      <c r="L392" t="s">
        <v>897</v>
      </c>
      <c r="M392" s="1">
        <v>74370.36</v>
      </c>
      <c r="N392">
        <v>9</v>
      </c>
      <c r="O392" s="2">
        <v>0.1</v>
      </c>
      <c r="P392" s="1">
        <v>8620.16</v>
      </c>
      <c r="Q392" t="s">
        <v>115</v>
      </c>
      <c r="R392" t="s">
        <v>28</v>
      </c>
    </row>
    <row r="393" spans="1:18" x14ac:dyDescent="0.3">
      <c r="A393">
        <v>1392</v>
      </c>
      <c r="B393" s="3">
        <v>45661</v>
      </c>
      <c r="C393" s="3">
        <v>45665</v>
      </c>
      <c r="D393" t="s">
        <v>337</v>
      </c>
      <c r="E393" t="s">
        <v>584</v>
      </c>
      <c r="F393" t="s">
        <v>31</v>
      </c>
      <c r="G393" t="s">
        <v>90</v>
      </c>
      <c r="H393" t="s">
        <v>91</v>
      </c>
      <c r="I393" t="s">
        <v>23</v>
      </c>
      <c r="J393" t="s">
        <v>35</v>
      </c>
      <c r="K393" t="s">
        <v>59</v>
      </c>
      <c r="L393" t="s">
        <v>898</v>
      </c>
      <c r="M393" s="1">
        <v>59261.96</v>
      </c>
      <c r="N393">
        <v>1</v>
      </c>
      <c r="O393" s="2">
        <v>0.05</v>
      </c>
      <c r="P393" s="1">
        <v>6970.24</v>
      </c>
      <c r="Q393" t="s">
        <v>74</v>
      </c>
      <c r="R393" t="s">
        <v>39</v>
      </c>
    </row>
    <row r="394" spans="1:18" x14ac:dyDescent="0.3">
      <c r="A394">
        <v>1393</v>
      </c>
      <c r="B394" s="3">
        <v>45442</v>
      </c>
      <c r="C394" s="3">
        <v>45443</v>
      </c>
      <c r="D394" t="s">
        <v>899</v>
      </c>
      <c r="E394" t="s">
        <v>592</v>
      </c>
      <c r="F394" t="s">
        <v>46</v>
      </c>
      <c r="G394" t="s">
        <v>90</v>
      </c>
      <c r="H394" t="s">
        <v>91</v>
      </c>
      <c r="I394" t="s">
        <v>23</v>
      </c>
      <c r="J394" t="s">
        <v>24</v>
      </c>
      <c r="K394" t="s">
        <v>25</v>
      </c>
      <c r="L394" t="s">
        <v>900</v>
      </c>
      <c r="M394" s="1">
        <v>18480.88</v>
      </c>
      <c r="N394">
        <v>1</v>
      </c>
      <c r="O394" s="2">
        <v>0.3</v>
      </c>
      <c r="P394" s="1">
        <v>2211.0100000000002</v>
      </c>
      <c r="Q394" t="s">
        <v>38</v>
      </c>
      <c r="R394" t="s">
        <v>28</v>
      </c>
    </row>
    <row r="395" spans="1:18" x14ac:dyDescent="0.3">
      <c r="A395">
        <v>1394</v>
      </c>
      <c r="B395" s="3">
        <v>45588</v>
      </c>
      <c r="C395" s="3">
        <v>45590</v>
      </c>
      <c r="D395" t="s">
        <v>399</v>
      </c>
      <c r="E395" t="s">
        <v>901</v>
      </c>
      <c r="F395" t="s">
        <v>20</v>
      </c>
      <c r="G395" t="s">
        <v>102</v>
      </c>
      <c r="H395" t="s">
        <v>103</v>
      </c>
      <c r="I395" t="s">
        <v>58</v>
      </c>
      <c r="J395" t="s">
        <v>24</v>
      </c>
      <c r="K395" t="s">
        <v>224</v>
      </c>
      <c r="L395" t="s">
        <v>902</v>
      </c>
      <c r="M395" s="1">
        <v>63403.15</v>
      </c>
      <c r="N395">
        <v>3</v>
      </c>
      <c r="O395" s="2">
        <v>0.05</v>
      </c>
      <c r="P395" s="1">
        <v>5946.12</v>
      </c>
      <c r="Q395" t="s">
        <v>61</v>
      </c>
      <c r="R395" t="s">
        <v>53</v>
      </c>
    </row>
    <row r="396" spans="1:18" x14ac:dyDescent="0.3">
      <c r="A396">
        <v>1395</v>
      </c>
      <c r="B396" s="3">
        <v>46000</v>
      </c>
      <c r="C396" s="3">
        <v>46005</v>
      </c>
      <c r="D396" t="s">
        <v>826</v>
      </c>
      <c r="E396" t="s">
        <v>378</v>
      </c>
      <c r="F396" t="s">
        <v>31</v>
      </c>
      <c r="G396" t="s">
        <v>70</v>
      </c>
      <c r="H396" t="s">
        <v>71</v>
      </c>
      <c r="I396" t="s">
        <v>58</v>
      </c>
      <c r="J396" t="s">
        <v>24</v>
      </c>
      <c r="K396" t="s">
        <v>72</v>
      </c>
      <c r="L396" t="s">
        <v>903</v>
      </c>
      <c r="M396" s="1">
        <v>79099.520000000004</v>
      </c>
      <c r="N396">
        <v>2</v>
      </c>
      <c r="O396" s="2">
        <v>0.1</v>
      </c>
      <c r="P396" s="1">
        <v>12686.12</v>
      </c>
      <c r="Q396" t="s">
        <v>115</v>
      </c>
      <c r="R396" t="s">
        <v>39</v>
      </c>
    </row>
    <row r="397" spans="1:18" x14ac:dyDescent="0.3">
      <c r="A397">
        <v>1396</v>
      </c>
      <c r="B397" s="3">
        <v>45510</v>
      </c>
      <c r="C397" s="3">
        <v>45513</v>
      </c>
      <c r="D397" t="s">
        <v>839</v>
      </c>
      <c r="E397" t="s">
        <v>326</v>
      </c>
      <c r="F397" t="s">
        <v>46</v>
      </c>
      <c r="G397" t="s">
        <v>90</v>
      </c>
      <c r="H397" t="s">
        <v>91</v>
      </c>
      <c r="I397" t="s">
        <v>23</v>
      </c>
      <c r="J397" t="s">
        <v>35</v>
      </c>
      <c r="K397" t="s">
        <v>129</v>
      </c>
      <c r="L397" t="s">
        <v>904</v>
      </c>
      <c r="M397" s="1">
        <v>4111.71</v>
      </c>
      <c r="N397">
        <v>2</v>
      </c>
      <c r="O397" s="2">
        <v>0.25</v>
      </c>
      <c r="P397" s="1">
        <v>164.8</v>
      </c>
      <c r="Q397" t="s">
        <v>115</v>
      </c>
      <c r="R397" t="s">
        <v>120</v>
      </c>
    </row>
    <row r="398" spans="1:18" x14ac:dyDescent="0.3">
      <c r="A398">
        <v>1397</v>
      </c>
      <c r="B398" s="3">
        <v>45540</v>
      </c>
      <c r="C398" s="3">
        <v>45546</v>
      </c>
      <c r="D398" t="s">
        <v>545</v>
      </c>
      <c r="E398" t="s">
        <v>346</v>
      </c>
      <c r="F398" t="s">
        <v>20</v>
      </c>
      <c r="G398" t="s">
        <v>107</v>
      </c>
      <c r="H398" t="s">
        <v>108</v>
      </c>
      <c r="I398" t="s">
        <v>34</v>
      </c>
      <c r="J398" t="s">
        <v>64</v>
      </c>
      <c r="K398" t="s">
        <v>104</v>
      </c>
      <c r="L398" t="s">
        <v>905</v>
      </c>
      <c r="M398" s="1">
        <v>74581.740000000005</v>
      </c>
      <c r="N398">
        <v>1</v>
      </c>
      <c r="O398" s="2">
        <v>0.05</v>
      </c>
      <c r="P398" s="1">
        <v>9801.4699999999993</v>
      </c>
      <c r="Q398" t="s">
        <v>74</v>
      </c>
      <c r="R398" t="s">
        <v>28</v>
      </c>
    </row>
    <row r="399" spans="1:18" x14ac:dyDescent="0.3">
      <c r="A399">
        <v>1398</v>
      </c>
      <c r="B399" s="3">
        <v>45851</v>
      </c>
      <c r="C399" s="3">
        <v>45855</v>
      </c>
      <c r="D399" t="s">
        <v>787</v>
      </c>
      <c r="E399" t="s">
        <v>595</v>
      </c>
      <c r="F399" t="s">
        <v>20</v>
      </c>
      <c r="G399" t="s">
        <v>70</v>
      </c>
      <c r="H399" t="s">
        <v>71</v>
      </c>
      <c r="I399" t="s">
        <v>58</v>
      </c>
      <c r="J399" t="s">
        <v>24</v>
      </c>
      <c r="K399" t="s">
        <v>212</v>
      </c>
      <c r="L399" t="s">
        <v>906</v>
      </c>
      <c r="M399" s="1">
        <v>44075.14</v>
      </c>
      <c r="N399">
        <v>10</v>
      </c>
      <c r="O399" s="2">
        <v>0.25</v>
      </c>
      <c r="P399" s="1">
        <v>2724.76</v>
      </c>
      <c r="Q399" t="s">
        <v>115</v>
      </c>
      <c r="R399" t="s">
        <v>120</v>
      </c>
    </row>
    <row r="400" spans="1:18" x14ac:dyDescent="0.3">
      <c r="A400">
        <v>1399</v>
      </c>
      <c r="B400" s="3">
        <v>45842</v>
      </c>
      <c r="C400" s="3">
        <v>45844</v>
      </c>
      <c r="D400" t="s">
        <v>907</v>
      </c>
      <c r="E400" t="s">
        <v>690</v>
      </c>
      <c r="F400" t="s">
        <v>31</v>
      </c>
      <c r="G400" t="s">
        <v>85</v>
      </c>
      <c r="H400" t="s">
        <v>86</v>
      </c>
      <c r="I400" t="s">
        <v>49</v>
      </c>
      <c r="J400" t="s">
        <v>64</v>
      </c>
      <c r="K400" t="s">
        <v>157</v>
      </c>
      <c r="L400" t="s">
        <v>908</v>
      </c>
      <c r="M400" s="1">
        <v>66781.539999999994</v>
      </c>
      <c r="N400">
        <v>10</v>
      </c>
      <c r="O400" s="2">
        <v>0.1</v>
      </c>
      <c r="P400" s="1">
        <v>3910.08</v>
      </c>
      <c r="Q400" t="s">
        <v>67</v>
      </c>
      <c r="R400" t="s">
        <v>39</v>
      </c>
    </row>
    <row r="401" spans="1:18" x14ac:dyDescent="0.3">
      <c r="A401">
        <v>1400</v>
      </c>
      <c r="B401" s="3">
        <v>45294</v>
      </c>
      <c r="C401" s="3">
        <v>45300</v>
      </c>
      <c r="D401" t="s">
        <v>217</v>
      </c>
      <c r="E401" t="s">
        <v>909</v>
      </c>
      <c r="F401" t="s">
        <v>20</v>
      </c>
      <c r="G401" t="s">
        <v>118</v>
      </c>
      <c r="H401" t="s">
        <v>118</v>
      </c>
      <c r="I401" t="s">
        <v>34</v>
      </c>
      <c r="J401" t="s">
        <v>64</v>
      </c>
      <c r="K401" t="s">
        <v>104</v>
      </c>
      <c r="L401" t="s">
        <v>910</v>
      </c>
      <c r="M401" s="1">
        <v>2332.9299999999998</v>
      </c>
      <c r="N401">
        <v>5</v>
      </c>
      <c r="O401" s="2">
        <v>0.25</v>
      </c>
      <c r="P401" s="1">
        <v>131.29</v>
      </c>
      <c r="Q401" t="s">
        <v>38</v>
      </c>
      <c r="R401" t="s">
        <v>39</v>
      </c>
    </row>
    <row r="402" spans="1:18" x14ac:dyDescent="0.3">
      <c r="A402">
        <v>1401</v>
      </c>
      <c r="B402" s="3">
        <v>45932</v>
      </c>
      <c r="C402" s="3">
        <v>45937</v>
      </c>
      <c r="D402" t="s">
        <v>137</v>
      </c>
      <c r="E402" t="s">
        <v>438</v>
      </c>
      <c r="F402" t="s">
        <v>31</v>
      </c>
      <c r="G402" t="s">
        <v>56</v>
      </c>
      <c r="H402" t="s">
        <v>57</v>
      </c>
      <c r="I402" t="s">
        <v>58</v>
      </c>
      <c r="J402" t="s">
        <v>24</v>
      </c>
      <c r="K402" t="s">
        <v>72</v>
      </c>
      <c r="L402" t="s">
        <v>911</v>
      </c>
      <c r="M402" s="1">
        <v>32428.16</v>
      </c>
      <c r="N402">
        <v>1</v>
      </c>
      <c r="O402" s="2">
        <v>0.05</v>
      </c>
      <c r="P402" s="1">
        <v>5218.01</v>
      </c>
      <c r="Q402" t="s">
        <v>115</v>
      </c>
      <c r="R402" t="s">
        <v>39</v>
      </c>
    </row>
    <row r="403" spans="1:18" x14ac:dyDescent="0.3">
      <c r="A403">
        <v>1402</v>
      </c>
      <c r="B403" s="3">
        <v>45946</v>
      </c>
      <c r="C403" s="3">
        <v>45952</v>
      </c>
      <c r="D403" t="s">
        <v>796</v>
      </c>
      <c r="E403" t="s">
        <v>629</v>
      </c>
      <c r="F403" t="s">
        <v>46</v>
      </c>
      <c r="G403" t="s">
        <v>107</v>
      </c>
      <c r="H403" t="s">
        <v>108</v>
      </c>
      <c r="I403" t="s">
        <v>34</v>
      </c>
      <c r="J403" t="s">
        <v>64</v>
      </c>
      <c r="K403" t="s">
        <v>157</v>
      </c>
      <c r="L403" t="s">
        <v>912</v>
      </c>
      <c r="M403" s="1">
        <v>20956.68</v>
      </c>
      <c r="N403">
        <v>8</v>
      </c>
      <c r="O403" s="2">
        <v>0.05</v>
      </c>
      <c r="P403" s="1">
        <v>2622.36</v>
      </c>
      <c r="Q403" t="s">
        <v>61</v>
      </c>
      <c r="R403" t="s">
        <v>120</v>
      </c>
    </row>
    <row r="404" spans="1:18" x14ac:dyDescent="0.3">
      <c r="A404">
        <v>1403</v>
      </c>
      <c r="B404" s="3">
        <v>45402</v>
      </c>
      <c r="C404" s="3">
        <v>45407</v>
      </c>
      <c r="D404" t="s">
        <v>437</v>
      </c>
      <c r="E404" t="s">
        <v>89</v>
      </c>
      <c r="F404" t="s">
        <v>20</v>
      </c>
      <c r="G404" t="s">
        <v>70</v>
      </c>
      <c r="H404" t="s">
        <v>71</v>
      </c>
      <c r="I404" t="s">
        <v>58</v>
      </c>
      <c r="J404" t="s">
        <v>24</v>
      </c>
      <c r="K404" t="s">
        <v>224</v>
      </c>
      <c r="L404" t="s">
        <v>913</v>
      </c>
      <c r="M404" s="1">
        <v>22787.81</v>
      </c>
      <c r="N404">
        <v>3</v>
      </c>
      <c r="O404" s="2">
        <v>0.25</v>
      </c>
      <c r="P404" s="1">
        <v>163.44</v>
      </c>
      <c r="Q404" t="s">
        <v>115</v>
      </c>
      <c r="R404" t="s">
        <v>39</v>
      </c>
    </row>
    <row r="405" spans="1:18" x14ac:dyDescent="0.3">
      <c r="A405">
        <v>1404</v>
      </c>
      <c r="B405" s="3">
        <v>45624</v>
      </c>
      <c r="C405" s="3">
        <v>45630</v>
      </c>
      <c r="D405" t="s">
        <v>914</v>
      </c>
      <c r="E405" t="s">
        <v>915</v>
      </c>
      <c r="F405" t="s">
        <v>31</v>
      </c>
      <c r="G405" t="s">
        <v>70</v>
      </c>
      <c r="H405" t="s">
        <v>71</v>
      </c>
      <c r="I405" t="s">
        <v>58</v>
      </c>
      <c r="J405" t="s">
        <v>64</v>
      </c>
      <c r="K405" t="s">
        <v>188</v>
      </c>
      <c r="L405" t="s">
        <v>916</v>
      </c>
      <c r="M405" s="1">
        <v>50120.03</v>
      </c>
      <c r="N405">
        <v>7</v>
      </c>
      <c r="O405" s="2">
        <v>0.25</v>
      </c>
      <c r="P405" s="1">
        <v>414.32</v>
      </c>
      <c r="Q405" t="s">
        <v>67</v>
      </c>
      <c r="R405" t="s">
        <v>120</v>
      </c>
    </row>
    <row r="406" spans="1:18" x14ac:dyDescent="0.3">
      <c r="A406">
        <v>1405</v>
      </c>
      <c r="B406" s="3">
        <v>45401</v>
      </c>
      <c r="C406" s="3">
        <v>45403</v>
      </c>
      <c r="D406" t="s">
        <v>839</v>
      </c>
      <c r="E406" t="s">
        <v>359</v>
      </c>
      <c r="F406" t="s">
        <v>31</v>
      </c>
      <c r="G406" t="s">
        <v>47</v>
      </c>
      <c r="H406" t="s">
        <v>48</v>
      </c>
      <c r="I406" t="s">
        <v>49</v>
      </c>
      <c r="J406" t="s">
        <v>24</v>
      </c>
      <c r="K406" t="s">
        <v>224</v>
      </c>
      <c r="L406" t="s">
        <v>917</v>
      </c>
      <c r="M406" s="1">
        <v>13366.77</v>
      </c>
      <c r="N406">
        <v>4</v>
      </c>
      <c r="O406" s="2">
        <v>0.25</v>
      </c>
      <c r="P406" s="1">
        <v>323.98</v>
      </c>
      <c r="Q406" t="s">
        <v>52</v>
      </c>
      <c r="R406" t="s">
        <v>39</v>
      </c>
    </row>
    <row r="407" spans="1:18" x14ac:dyDescent="0.3">
      <c r="A407">
        <v>1406</v>
      </c>
      <c r="B407" s="3">
        <v>45728</v>
      </c>
      <c r="C407" s="3">
        <v>45730</v>
      </c>
      <c r="D407" t="s">
        <v>918</v>
      </c>
      <c r="E407" t="s">
        <v>232</v>
      </c>
      <c r="F407" t="s">
        <v>46</v>
      </c>
      <c r="G407" t="s">
        <v>102</v>
      </c>
      <c r="H407" t="s">
        <v>103</v>
      </c>
      <c r="I407" t="s">
        <v>58</v>
      </c>
      <c r="J407" t="s">
        <v>24</v>
      </c>
      <c r="K407" t="s">
        <v>25</v>
      </c>
      <c r="L407" t="s">
        <v>919</v>
      </c>
      <c r="M407" s="1">
        <v>30343.23</v>
      </c>
      <c r="N407">
        <v>7</v>
      </c>
      <c r="O407" s="2">
        <v>0.1</v>
      </c>
      <c r="P407" s="1">
        <v>4210.7700000000004</v>
      </c>
      <c r="Q407" t="s">
        <v>38</v>
      </c>
      <c r="R407" t="s">
        <v>53</v>
      </c>
    </row>
    <row r="408" spans="1:18" x14ac:dyDescent="0.3">
      <c r="A408">
        <v>1407</v>
      </c>
      <c r="B408" s="3">
        <v>45804</v>
      </c>
      <c r="C408" s="3">
        <v>45807</v>
      </c>
      <c r="D408" t="s">
        <v>621</v>
      </c>
      <c r="E408" t="s">
        <v>89</v>
      </c>
      <c r="F408" t="s">
        <v>46</v>
      </c>
      <c r="G408" t="s">
        <v>112</v>
      </c>
      <c r="H408" t="s">
        <v>113</v>
      </c>
      <c r="I408" t="s">
        <v>49</v>
      </c>
      <c r="J408" t="s">
        <v>64</v>
      </c>
      <c r="K408" t="s">
        <v>65</v>
      </c>
      <c r="L408" t="s">
        <v>920</v>
      </c>
      <c r="M408" s="1">
        <v>86052.47</v>
      </c>
      <c r="N408">
        <v>8</v>
      </c>
      <c r="O408" s="2">
        <v>0.25</v>
      </c>
      <c r="P408" s="1">
        <v>368.97</v>
      </c>
      <c r="Q408" t="s">
        <v>61</v>
      </c>
      <c r="R408" t="s">
        <v>39</v>
      </c>
    </row>
    <row r="409" spans="1:18" x14ac:dyDescent="0.3">
      <c r="A409">
        <v>1408</v>
      </c>
      <c r="B409" s="3">
        <v>45855</v>
      </c>
      <c r="C409" s="3">
        <v>45861</v>
      </c>
      <c r="D409" t="s">
        <v>921</v>
      </c>
      <c r="E409" t="s">
        <v>328</v>
      </c>
      <c r="F409" t="s">
        <v>20</v>
      </c>
      <c r="G409" t="s">
        <v>32</v>
      </c>
      <c r="H409" t="s">
        <v>33</v>
      </c>
      <c r="I409" t="s">
        <v>34</v>
      </c>
      <c r="J409" t="s">
        <v>35</v>
      </c>
      <c r="K409" t="s">
        <v>59</v>
      </c>
      <c r="L409" t="s">
        <v>625</v>
      </c>
      <c r="M409" s="1">
        <v>78177.03</v>
      </c>
      <c r="N409">
        <v>10</v>
      </c>
      <c r="O409" s="2">
        <v>0.2</v>
      </c>
      <c r="P409" s="1">
        <v>9669.42</v>
      </c>
      <c r="Q409" t="s">
        <v>74</v>
      </c>
      <c r="R409" t="s">
        <v>120</v>
      </c>
    </row>
    <row r="410" spans="1:18" x14ac:dyDescent="0.3">
      <c r="A410">
        <v>1409</v>
      </c>
      <c r="B410" s="3">
        <v>45771</v>
      </c>
      <c r="C410" s="3">
        <v>45774</v>
      </c>
      <c r="D410" t="s">
        <v>507</v>
      </c>
      <c r="E410" t="s">
        <v>922</v>
      </c>
      <c r="F410" t="s">
        <v>20</v>
      </c>
      <c r="G410" t="s">
        <v>95</v>
      </c>
      <c r="H410" t="s">
        <v>22</v>
      </c>
      <c r="I410" t="s">
        <v>23</v>
      </c>
      <c r="J410" t="s">
        <v>24</v>
      </c>
      <c r="K410" t="s">
        <v>72</v>
      </c>
      <c r="L410" t="s">
        <v>923</v>
      </c>
      <c r="M410" s="1">
        <v>46005.43</v>
      </c>
      <c r="N410">
        <v>5</v>
      </c>
      <c r="O410" s="2">
        <v>0.3</v>
      </c>
      <c r="P410" s="1">
        <v>178.16</v>
      </c>
      <c r="Q410" t="s">
        <v>115</v>
      </c>
      <c r="R410" t="s">
        <v>28</v>
      </c>
    </row>
    <row r="411" spans="1:18" x14ac:dyDescent="0.3">
      <c r="A411">
        <v>1410</v>
      </c>
      <c r="B411" s="3">
        <v>45887</v>
      </c>
      <c r="C411" s="3">
        <v>45888</v>
      </c>
      <c r="D411" t="s">
        <v>414</v>
      </c>
      <c r="E411" t="s">
        <v>864</v>
      </c>
      <c r="F411" t="s">
        <v>20</v>
      </c>
      <c r="G411" t="s">
        <v>107</v>
      </c>
      <c r="H411" t="s">
        <v>108</v>
      </c>
      <c r="I411" t="s">
        <v>34</v>
      </c>
      <c r="J411" t="s">
        <v>35</v>
      </c>
      <c r="K411" t="s">
        <v>59</v>
      </c>
      <c r="L411" t="s">
        <v>924</v>
      </c>
      <c r="M411" s="1">
        <v>81561.210000000006</v>
      </c>
      <c r="N411">
        <v>2</v>
      </c>
      <c r="O411" s="2">
        <v>0</v>
      </c>
      <c r="P411" s="1">
        <v>18887.5</v>
      </c>
      <c r="Q411" t="s">
        <v>27</v>
      </c>
      <c r="R411" t="s">
        <v>28</v>
      </c>
    </row>
    <row r="412" spans="1:18" x14ac:dyDescent="0.3">
      <c r="A412">
        <v>1411</v>
      </c>
      <c r="B412" s="3">
        <v>45920</v>
      </c>
      <c r="C412" s="3">
        <v>45925</v>
      </c>
      <c r="D412" t="s">
        <v>155</v>
      </c>
      <c r="E412" t="s">
        <v>30</v>
      </c>
      <c r="F412" t="s">
        <v>31</v>
      </c>
      <c r="G412" t="s">
        <v>118</v>
      </c>
      <c r="H412" t="s">
        <v>118</v>
      </c>
      <c r="I412" t="s">
        <v>34</v>
      </c>
      <c r="J412" t="s">
        <v>35</v>
      </c>
      <c r="K412" t="s">
        <v>59</v>
      </c>
      <c r="L412" t="s">
        <v>925</v>
      </c>
      <c r="M412" s="1">
        <v>15737.22</v>
      </c>
      <c r="N412">
        <v>7</v>
      </c>
      <c r="O412" s="2">
        <v>0.25</v>
      </c>
      <c r="P412" s="1">
        <v>2403.16</v>
      </c>
      <c r="Q412" t="s">
        <v>82</v>
      </c>
      <c r="R412" t="s">
        <v>28</v>
      </c>
    </row>
    <row r="413" spans="1:18" x14ac:dyDescent="0.3">
      <c r="A413">
        <v>1412</v>
      </c>
      <c r="B413" s="3">
        <v>45521</v>
      </c>
      <c r="C413" s="3">
        <v>45522</v>
      </c>
      <c r="D413" t="s">
        <v>425</v>
      </c>
      <c r="E413" t="s">
        <v>284</v>
      </c>
      <c r="F413" t="s">
        <v>31</v>
      </c>
      <c r="G413" t="s">
        <v>47</v>
      </c>
      <c r="H413" t="s">
        <v>48</v>
      </c>
      <c r="I413" t="s">
        <v>49</v>
      </c>
      <c r="J413" t="s">
        <v>35</v>
      </c>
      <c r="K413" t="s">
        <v>129</v>
      </c>
      <c r="L413" t="s">
        <v>926</v>
      </c>
      <c r="M413" s="1">
        <v>77885.59</v>
      </c>
      <c r="N413">
        <v>4</v>
      </c>
      <c r="O413" s="2">
        <v>0.05</v>
      </c>
      <c r="P413" s="1">
        <v>8551.6299999999992</v>
      </c>
      <c r="Q413" t="s">
        <v>115</v>
      </c>
      <c r="R413" t="s">
        <v>39</v>
      </c>
    </row>
    <row r="414" spans="1:18" x14ac:dyDescent="0.3">
      <c r="A414">
        <v>1413</v>
      </c>
      <c r="B414" s="3">
        <v>45415</v>
      </c>
      <c r="C414" s="3">
        <v>45416</v>
      </c>
      <c r="D414" t="s">
        <v>377</v>
      </c>
      <c r="E414" t="s">
        <v>168</v>
      </c>
      <c r="F414" t="s">
        <v>31</v>
      </c>
      <c r="G414" t="s">
        <v>32</v>
      </c>
      <c r="H414" t="s">
        <v>33</v>
      </c>
      <c r="I414" t="s">
        <v>34</v>
      </c>
      <c r="J414" t="s">
        <v>35</v>
      </c>
      <c r="K414" t="s">
        <v>59</v>
      </c>
      <c r="L414" t="s">
        <v>927</v>
      </c>
      <c r="M414" s="1">
        <v>4895.96</v>
      </c>
      <c r="N414">
        <v>1</v>
      </c>
      <c r="O414" s="2">
        <v>0</v>
      </c>
      <c r="P414" s="1">
        <v>1004.79</v>
      </c>
      <c r="Q414" t="s">
        <v>82</v>
      </c>
      <c r="R414" t="s">
        <v>120</v>
      </c>
    </row>
    <row r="415" spans="1:18" x14ac:dyDescent="0.3">
      <c r="A415">
        <v>1414</v>
      </c>
      <c r="B415" s="3">
        <v>45624</v>
      </c>
      <c r="C415" s="3">
        <v>45630</v>
      </c>
      <c r="D415" t="s">
        <v>700</v>
      </c>
      <c r="E415" t="s">
        <v>187</v>
      </c>
      <c r="F415" t="s">
        <v>31</v>
      </c>
      <c r="G415" t="s">
        <v>102</v>
      </c>
      <c r="H415" t="s">
        <v>103</v>
      </c>
      <c r="I415" t="s">
        <v>58</v>
      </c>
      <c r="J415" t="s">
        <v>24</v>
      </c>
      <c r="K415" t="s">
        <v>25</v>
      </c>
      <c r="L415" t="s">
        <v>928</v>
      </c>
      <c r="M415" s="1">
        <v>22138.42</v>
      </c>
      <c r="N415">
        <v>2</v>
      </c>
      <c r="O415" s="2">
        <v>0.05</v>
      </c>
      <c r="P415" s="1">
        <v>3876.04</v>
      </c>
      <c r="Q415" t="s">
        <v>82</v>
      </c>
      <c r="R415" t="s">
        <v>53</v>
      </c>
    </row>
    <row r="416" spans="1:18" x14ac:dyDescent="0.3">
      <c r="A416">
        <v>1415</v>
      </c>
      <c r="B416" s="3">
        <v>45975</v>
      </c>
      <c r="C416" s="3">
        <v>45978</v>
      </c>
      <c r="D416" t="s">
        <v>929</v>
      </c>
      <c r="E416" t="s">
        <v>930</v>
      </c>
      <c r="F416" t="s">
        <v>46</v>
      </c>
      <c r="G416" t="s">
        <v>56</v>
      </c>
      <c r="H416" t="s">
        <v>57</v>
      </c>
      <c r="I416" t="s">
        <v>58</v>
      </c>
      <c r="J416" t="s">
        <v>35</v>
      </c>
      <c r="K416" t="s">
        <v>42</v>
      </c>
      <c r="L416" t="s">
        <v>931</v>
      </c>
      <c r="M416" s="1">
        <v>33936.29</v>
      </c>
      <c r="N416">
        <v>9</v>
      </c>
      <c r="O416" s="2">
        <v>0.25</v>
      </c>
      <c r="P416" s="1">
        <v>1685.02</v>
      </c>
      <c r="Q416" t="s">
        <v>61</v>
      </c>
      <c r="R416" t="s">
        <v>28</v>
      </c>
    </row>
    <row r="417" spans="1:18" x14ac:dyDescent="0.3">
      <c r="A417">
        <v>1416</v>
      </c>
      <c r="B417" s="3">
        <v>45550</v>
      </c>
      <c r="C417" s="3">
        <v>45554</v>
      </c>
      <c r="D417" t="s">
        <v>377</v>
      </c>
      <c r="E417" t="s">
        <v>484</v>
      </c>
      <c r="F417" t="s">
        <v>46</v>
      </c>
      <c r="G417" t="s">
        <v>85</v>
      </c>
      <c r="H417" t="s">
        <v>86</v>
      </c>
      <c r="I417" t="s">
        <v>49</v>
      </c>
      <c r="J417" t="s">
        <v>24</v>
      </c>
      <c r="K417" t="s">
        <v>72</v>
      </c>
      <c r="L417" t="s">
        <v>932</v>
      </c>
      <c r="M417" s="1">
        <v>7418.37</v>
      </c>
      <c r="N417">
        <v>10</v>
      </c>
      <c r="O417" s="2">
        <v>0.05</v>
      </c>
      <c r="P417" s="1">
        <v>688.99</v>
      </c>
      <c r="Q417" t="s">
        <v>82</v>
      </c>
      <c r="R417" t="s">
        <v>28</v>
      </c>
    </row>
    <row r="418" spans="1:18" x14ac:dyDescent="0.3">
      <c r="A418">
        <v>1417</v>
      </c>
      <c r="B418" s="3">
        <v>46009</v>
      </c>
      <c r="C418" s="3">
        <v>46011</v>
      </c>
      <c r="D418" t="s">
        <v>933</v>
      </c>
      <c r="E418" t="s">
        <v>287</v>
      </c>
      <c r="F418" t="s">
        <v>31</v>
      </c>
      <c r="G418" t="s">
        <v>32</v>
      </c>
      <c r="H418" t="s">
        <v>33</v>
      </c>
      <c r="I418" t="s">
        <v>34</v>
      </c>
      <c r="J418" t="s">
        <v>24</v>
      </c>
      <c r="K418" t="s">
        <v>224</v>
      </c>
      <c r="L418" t="s">
        <v>934</v>
      </c>
      <c r="M418" s="1">
        <v>71564.5</v>
      </c>
      <c r="N418">
        <v>9</v>
      </c>
      <c r="O418" s="2">
        <v>0</v>
      </c>
      <c r="P418" s="1">
        <v>11015.31</v>
      </c>
      <c r="Q418" t="s">
        <v>27</v>
      </c>
      <c r="R418" t="s">
        <v>120</v>
      </c>
    </row>
    <row r="419" spans="1:18" x14ac:dyDescent="0.3">
      <c r="A419">
        <v>1418</v>
      </c>
      <c r="B419" s="3">
        <v>45622</v>
      </c>
      <c r="C419" s="3">
        <v>45624</v>
      </c>
      <c r="D419" t="s">
        <v>613</v>
      </c>
      <c r="E419" t="s">
        <v>519</v>
      </c>
      <c r="F419" t="s">
        <v>31</v>
      </c>
      <c r="G419" t="s">
        <v>32</v>
      </c>
      <c r="H419" t="s">
        <v>33</v>
      </c>
      <c r="I419" t="s">
        <v>34</v>
      </c>
      <c r="J419" t="s">
        <v>24</v>
      </c>
      <c r="K419" t="s">
        <v>212</v>
      </c>
      <c r="L419" t="s">
        <v>935</v>
      </c>
      <c r="M419" s="1">
        <v>41073.61</v>
      </c>
      <c r="N419">
        <v>9</v>
      </c>
      <c r="O419" s="2">
        <v>0.05</v>
      </c>
      <c r="P419" s="1">
        <v>2495.9499999999998</v>
      </c>
      <c r="Q419" t="s">
        <v>115</v>
      </c>
      <c r="R419" t="s">
        <v>39</v>
      </c>
    </row>
    <row r="420" spans="1:18" x14ac:dyDescent="0.3">
      <c r="A420">
        <v>1419</v>
      </c>
      <c r="B420" s="3">
        <v>45627</v>
      </c>
      <c r="C420" s="3">
        <v>45629</v>
      </c>
      <c r="D420" t="s">
        <v>580</v>
      </c>
      <c r="E420" t="s">
        <v>659</v>
      </c>
      <c r="F420" t="s">
        <v>46</v>
      </c>
      <c r="G420" t="s">
        <v>56</v>
      </c>
      <c r="H420" t="s">
        <v>57</v>
      </c>
      <c r="I420" t="s">
        <v>58</v>
      </c>
      <c r="J420" t="s">
        <v>35</v>
      </c>
      <c r="K420" t="s">
        <v>42</v>
      </c>
      <c r="L420" t="s">
        <v>936</v>
      </c>
      <c r="M420" s="1">
        <v>51297.27</v>
      </c>
      <c r="N420">
        <v>3</v>
      </c>
      <c r="O420" s="2">
        <v>0.25</v>
      </c>
      <c r="P420" s="1">
        <v>6759.17</v>
      </c>
      <c r="Q420" t="s">
        <v>61</v>
      </c>
      <c r="R420" t="s">
        <v>53</v>
      </c>
    </row>
    <row r="421" spans="1:18" x14ac:dyDescent="0.3">
      <c r="A421">
        <v>1420</v>
      </c>
      <c r="B421" s="3">
        <v>45618</v>
      </c>
      <c r="C421" s="3">
        <v>45620</v>
      </c>
      <c r="D421" t="s">
        <v>807</v>
      </c>
      <c r="E421" t="s">
        <v>309</v>
      </c>
      <c r="F421" t="s">
        <v>46</v>
      </c>
      <c r="G421" t="s">
        <v>85</v>
      </c>
      <c r="H421" t="s">
        <v>86</v>
      </c>
      <c r="I421" t="s">
        <v>49</v>
      </c>
      <c r="J421" t="s">
        <v>24</v>
      </c>
      <c r="K421" t="s">
        <v>25</v>
      </c>
      <c r="L421" t="s">
        <v>937</v>
      </c>
      <c r="M421" s="1">
        <v>85995.86</v>
      </c>
      <c r="N421">
        <v>8</v>
      </c>
      <c r="O421" s="2">
        <v>0.1</v>
      </c>
      <c r="P421" s="1">
        <v>8201.06</v>
      </c>
      <c r="Q421" t="s">
        <v>67</v>
      </c>
      <c r="R421" t="s">
        <v>39</v>
      </c>
    </row>
    <row r="422" spans="1:18" x14ac:dyDescent="0.3">
      <c r="A422">
        <v>1421</v>
      </c>
      <c r="B422" s="3">
        <v>45911</v>
      </c>
      <c r="C422" s="3">
        <v>45917</v>
      </c>
      <c r="D422" t="s">
        <v>308</v>
      </c>
      <c r="E422" t="s">
        <v>938</v>
      </c>
      <c r="F422" t="s">
        <v>20</v>
      </c>
      <c r="G422" t="s">
        <v>102</v>
      </c>
      <c r="H422" t="s">
        <v>103</v>
      </c>
      <c r="I422" t="s">
        <v>58</v>
      </c>
      <c r="J422" t="s">
        <v>35</v>
      </c>
      <c r="K422" t="s">
        <v>129</v>
      </c>
      <c r="L422" t="s">
        <v>939</v>
      </c>
      <c r="M422" s="1">
        <v>72302.080000000002</v>
      </c>
      <c r="N422">
        <v>9</v>
      </c>
      <c r="O422" s="2">
        <v>0.2</v>
      </c>
      <c r="P422" s="1">
        <v>14466.84</v>
      </c>
      <c r="Q422" t="s">
        <v>38</v>
      </c>
      <c r="R422" t="s">
        <v>53</v>
      </c>
    </row>
    <row r="423" spans="1:18" x14ac:dyDescent="0.3">
      <c r="A423">
        <v>1422</v>
      </c>
      <c r="B423" s="3">
        <v>45301</v>
      </c>
      <c r="C423" s="3">
        <v>45307</v>
      </c>
      <c r="D423" t="s">
        <v>305</v>
      </c>
      <c r="E423" t="s">
        <v>740</v>
      </c>
      <c r="F423" t="s">
        <v>20</v>
      </c>
      <c r="G423" t="s">
        <v>47</v>
      </c>
      <c r="H423" t="s">
        <v>48</v>
      </c>
      <c r="I423" t="s">
        <v>49</v>
      </c>
      <c r="J423" t="s">
        <v>24</v>
      </c>
      <c r="K423" t="s">
        <v>212</v>
      </c>
      <c r="L423" t="s">
        <v>940</v>
      </c>
      <c r="M423" s="1">
        <v>12355.48</v>
      </c>
      <c r="N423">
        <v>2</v>
      </c>
      <c r="O423" s="2">
        <v>0.2</v>
      </c>
      <c r="P423" s="1">
        <v>2634.01</v>
      </c>
      <c r="Q423" t="s">
        <v>67</v>
      </c>
      <c r="R423" t="s">
        <v>28</v>
      </c>
    </row>
    <row r="424" spans="1:18" x14ac:dyDescent="0.3">
      <c r="A424">
        <v>1423</v>
      </c>
      <c r="B424" s="3">
        <v>45852</v>
      </c>
      <c r="C424" s="3">
        <v>45855</v>
      </c>
      <c r="D424" t="s">
        <v>941</v>
      </c>
      <c r="E424" t="s">
        <v>639</v>
      </c>
      <c r="F424" t="s">
        <v>20</v>
      </c>
      <c r="G424" t="s">
        <v>70</v>
      </c>
      <c r="H424" t="s">
        <v>71</v>
      </c>
      <c r="I424" t="s">
        <v>58</v>
      </c>
      <c r="J424" t="s">
        <v>35</v>
      </c>
      <c r="K424" t="s">
        <v>36</v>
      </c>
      <c r="L424" t="s">
        <v>77</v>
      </c>
      <c r="M424" s="1">
        <v>69196.75</v>
      </c>
      <c r="N424">
        <v>4</v>
      </c>
      <c r="O424" s="2">
        <v>0.2</v>
      </c>
      <c r="P424" s="1">
        <v>5634.47</v>
      </c>
      <c r="Q424" t="s">
        <v>38</v>
      </c>
      <c r="R424" t="s">
        <v>39</v>
      </c>
    </row>
    <row r="425" spans="1:18" x14ac:dyDescent="0.3">
      <c r="A425">
        <v>1424</v>
      </c>
      <c r="B425" s="3">
        <v>46021</v>
      </c>
      <c r="C425" s="3">
        <v>46027</v>
      </c>
      <c r="D425" t="s">
        <v>942</v>
      </c>
      <c r="E425" t="s">
        <v>943</v>
      </c>
      <c r="F425" t="s">
        <v>31</v>
      </c>
      <c r="G425" t="s">
        <v>47</v>
      </c>
      <c r="H425" t="s">
        <v>48</v>
      </c>
      <c r="I425" t="s">
        <v>49</v>
      </c>
      <c r="J425" t="s">
        <v>64</v>
      </c>
      <c r="K425" t="s">
        <v>65</v>
      </c>
      <c r="L425" t="s">
        <v>944</v>
      </c>
      <c r="M425" s="1">
        <v>41041.519999999997</v>
      </c>
      <c r="N425">
        <v>9</v>
      </c>
      <c r="O425" s="2">
        <v>0.2</v>
      </c>
      <c r="P425" s="1">
        <v>6063.49</v>
      </c>
      <c r="Q425" t="s">
        <v>74</v>
      </c>
      <c r="R425" t="s">
        <v>53</v>
      </c>
    </row>
    <row r="426" spans="1:18" x14ac:dyDescent="0.3">
      <c r="A426">
        <v>1425</v>
      </c>
      <c r="B426" s="3">
        <v>45960</v>
      </c>
      <c r="C426" s="3">
        <v>45962</v>
      </c>
      <c r="D426" t="s">
        <v>732</v>
      </c>
      <c r="E426" t="s">
        <v>671</v>
      </c>
      <c r="F426" t="s">
        <v>46</v>
      </c>
      <c r="G426" t="s">
        <v>95</v>
      </c>
      <c r="H426" t="s">
        <v>22</v>
      </c>
      <c r="I426" t="s">
        <v>23</v>
      </c>
      <c r="J426" t="s">
        <v>64</v>
      </c>
      <c r="K426" t="s">
        <v>80</v>
      </c>
      <c r="L426" t="s">
        <v>945</v>
      </c>
      <c r="M426" s="1">
        <v>41305.22</v>
      </c>
      <c r="N426">
        <v>7</v>
      </c>
      <c r="O426" s="2">
        <v>0.25</v>
      </c>
      <c r="P426" s="1">
        <v>2295.9899999999998</v>
      </c>
      <c r="Q426" t="s">
        <v>61</v>
      </c>
      <c r="R426" t="s">
        <v>28</v>
      </c>
    </row>
    <row r="427" spans="1:18" x14ac:dyDescent="0.3">
      <c r="A427">
        <v>1426</v>
      </c>
      <c r="B427" s="3">
        <v>45469</v>
      </c>
      <c r="C427" s="3">
        <v>45470</v>
      </c>
      <c r="D427" t="s">
        <v>946</v>
      </c>
      <c r="E427" t="s">
        <v>349</v>
      </c>
      <c r="F427" t="s">
        <v>46</v>
      </c>
      <c r="G427" t="s">
        <v>95</v>
      </c>
      <c r="H427" t="s">
        <v>22</v>
      </c>
      <c r="I427" t="s">
        <v>23</v>
      </c>
      <c r="J427" t="s">
        <v>64</v>
      </c>
      <c r="K427" t="s">
        <v>80</v>
      </c>
      <c r="L427" t="s">
        <v>947</v>
      </c>
      <c r="M427" s="1">
        <v>28873.37</v>
      </c>
      <c r="N427">
        <v>8</v>
      </c>
      <c r="O427" s="2">
        <v>0.05</v>
      </c>
      <c r="P427" s="1">
        <v>8081.14</v>
      </c>
      <c r="Q427" t="s">
        <v>61</v>
      </c>
      <c r="R427" t="s">
        <v>39</v>
      </c>
    </row>
    <row r="428" spans="1:18" x14ac:dyDescent="0.3">
      <c r="A428">
        <v>1427</v>
      </c>
      <c r="B428" s="3">
        <v>45923</v>
      </c>
      <c r="C428" s="3">
        <v>45927</v>
      </c>
      <c r="D428" t="s">
        <v>948</v>
      </c>
      <c r="E428" t="s">
        <v>312</v>
      </c>
      <c r="F428" t="s">
        <v>46</v>
      </c>
      <c r="G428" t="s">
        <v>102</v>
      </c>
      <c r="H428" t="s">
        <v>103</v>
      </c>
      <c r="I428" t="s">
        <v>58</v>
      </c>
      <c r="J428" t="s">
        <v>64</v>
      </c>
      <c r="K428" t="s">
        <v>157</v>
      </c>
      <c r="L428" t="s">
        <v>949</v>
      </c>
      <c r="M428" s="1">
        <v>29790.9</v>
      </c>
      <c r="N428">
        <v>1</v>
      </c>
      <c r="O428" s="2">
        <v>0.25</v>
      </c>
      <c r="P428" s="1">
        <v>1523.42</v>
      </c>
      <c r="Q428" t="s">
        <v>74</v>
      </c>
      <c r="R428" t="s">
        <v>39</v>
      </c>
    </row>
    <row r="429" spans="1:18" x14ac:dyDescent="0.3">
      <c r="A429">
        <v>1428</v>
      </c>
      <c r="B429" s="3">
        <v>45883</v>
      </c>
      <c r="C429" s="3">
        <v>45885</v>
      </c>
      <c r="D429" t="s">
        <v>254</v>
      </c>
      <c r="E429" t="s">
        <v>371</v>
      </c>
      <c r="F429" t="s">
        <v>31</v>
      </c>
      <c r="G429" t="s">
        <v>90</v>
      </c>
      <c r="H429" t="s">
        <v>91</v>
      </c>
      <c r="I429" t="s">
        <v>23</v>
      </c>
      <c r="J429" t="s">
        <v>64</v>
      </c>
      <c r="K429" t="s">
        <v>157</v>
      </c>
      <c r="L429" t="s">
        <v>203</v>
      </c>
      <c r="M429" s="1">
        <v>27944.240000000002</v>
      </c>
      <c r="N429">
        <v>9</v>
      </c>
      <c r="O429" s="2">
        <v>0.15</v>
      </c>
      <c r="P429" s="1">
        <v>5127.1400000000003</v>
      </c>
      <c r="Q429" t="s">
        <v>61</v>
      </c>
      <c r="R429" t="s">
        <v>39</v>
      </c>
    </row>
    <row r="430" spans="1:18" x14ac:dyDescent="0.3">
      <c r="A430">
        <v>1429</v>
      </c>
      <c r="B430" s="3">
        <v>45309</v>
      </c>
      <c r="C430" s="3">
        <v>45311</v>
      </c>
      <c r="D430" t="s">
        <v>673</v>
      </c>
      <c r="E430" t="s">
        <v>160</v>
      </c>
      <c r="F430" t="s">
        <v>20</v>
      </c>
      <c r="G430" t="s">
        <v>56</v>
      </c>
      <c r="H430" t="s">
        <v>57</v>
      </c>
      <c r="I430" t="s">
        <v>58</v>
      </c>
      <c r="J430" t="s">
        <v>35</v>
      </c>
      <c r="K430" t="s">
        <v>129</v>
      </c>
      <c r="L430" t="s">
        <v>950</v>
      </c>
      <c r="M430" s="1">
        <v>27614.82</v>
      </c>
      <c r="N430">
        <v>1</v>
      </c>
      <c r="O430" s="2">
        <v>0</v>
      </c>
      <c r="P430" s="1">
        <v>5346.77</v>
      </c>
      <c r="Q430" t="s">
        <v>74</v>
      </c>
      <c r="R430" t="s">
        <v>53</v>
      </c>
    </row>
    <row r="431" spans="1:18" x14ac:dyDescent="0.3">
      <c r="A431">
        <v>1430</v>
      </c>
      <c r="B431" s="3">
        <v>45958</v>
      </c>
      <c r="C431" s="3">
        <v>45959</v>
      </c>
      <c r="D431" t="s">
        <v>342</v>
      </c>
      <c r="E431" t="s">
        <v>489</v>
      </c>
      <c r="F431" t="s">
        <v>20</v>
      </c>
      <c r="G431" t="s">
        <v>107</v>
      </c>
      <c r="H431" t="s">
        <v>108</v>
      </c>
      <c r="I431" t="s">
        <v>34</v>
      </c>
      <c r="J431" t="s">
        <v>64</v>
      </c>
      <c r="K431" t="s">
        <v>65</v>
      </c>
      <c r="L431" t="s">
        <v>951</v>
      </c>
      <c r="M431" s="1">
        <v>6566.71</v>
      </c>
      <c r="N431">
        <v>7</v>
      </c>
      <c r="O431" s="2">
        <v>0.15</v>
      </c>
      <c r="P431" s="1">
        <v>1139.6300000000001</v>
      </c>
      <c r="Q431" t="s">
        <v>52</v>
      </c>
      <c r="R431" t="s">
        <v>28</v>
      </c>
    </row>
    <row r="432" spans="1:18" x14ac:dyDescent="0.3">
      <c r="A432">
        <v>1431</v>
      </c>
      <c r="B432" s="3">
        <v>45474</v>
      </c>
      <c r="C432" s="3">
        <v>45478</v>
      </c>
      <c r="D432" t="s">
        <v>386</v>
      </c>
      <c r="E432" t="s">
        <v>218</v>
      </c>
      <c r="F432" t="s">
        <v>20</v>
      </c>
      <c r="G432" t="s">
        <v>47</v>
      </c>
      <c r="H432" t="s">
        <v>48</v>
      </c>
      <c r="I432" t="s">
        <v>49</v>
      </c>
      <c r="J432" t="s">
        <v>64</v>
      </c>
      <c r="K432" t="s">
        <v>80</v>
      </c>
      <c r="L432" t="s">
        <v>952</v>
      </c>
      <c r="M432" s="1">
        <v>11171.55</v>
      </c>
      <c r="N432">
        <v>5</v>
      </c>
      <c r="O432" s="2">
        <v>0.3</v>
      </c>
      <c r="P432" s="1">
        <v>134.52000000000001</v>
      </c>
      <c r="Q432" t="s">
        <v>67</v>
      </c>
      <c r="R432" t="s">
        <v>120</v>
      </c>
    </row>
    <row r="433" spans="1:18" x14ac:dyDescent="0.3">
      <c r="A433">
        <v>1432</v>
      </c>
      <c r="B433" s="3">
        <v>45526</v>
      </c>
      <c r="C433" s="3">
        <v>45531</v>
      </c>
      <c r="D433" t="s">
        <v>846</v>
      </c>
      <c r="E433" t="s">
        <v>847</v>
      </c>
      <c r="F433" t="s">
        <v>20</v>
      </c>
      <c r="G433" t="s">
        <v>85</v>
      </c>
      <c r="H433" t="s">
        <v>86</v>
      </c>
      <c r="I433" t="s">
        <v>49</v>
      </c>
      <c r="J433" t="s">
        <v>24</v>
      </c>
      <c r="K433" t="s">
        <v>72</v>
      </c>
      <c r="L433" t="s">
        <v>953</v>
      </c>
      <c r="M433" s="1">
        <v>43473.24</v>
      </c>
      <c r="N433">
        <v>7</v>
      </c>
      <c r="O433" s="2">
        <v>0.05</v>
      </c>
      <c r="P433" s="1">
        <v>6761.52</v>
      </c>
      <c r="Q433" t="s">
        <v>61</v>
      </c>
      <c r="R433" t="s">
        <v>28</v>
      </c>
    </row>
    <row r="434" spans="1:18" x14ac:dyDescent="0.3">
      <c r="A434">
        <v>1433</v>
      </c>
      <c r="B434" s="3">
        <v>45716</v>
      </c>
      <c r="C434" s="3">
        <v>45718</v>
      </c>
      <c r="D434" t="s">
        <v>780</v>
      </c>
      <c r="E434" t="s">
        <v>252</v>
      </c>
      <c r="F434" t="s">
        <v>46</v>
      </c>
      <c r="G434" t="s">
        <v>95</v>
      </c>
      <c r="H434" t="s">
        <v>22</v>
      </c>
      <c r="I434" t="s">
        <v>23</v>
      </c>
      <c r="J434" t="s">
        <v>24</v>
      </c>
      <c r="K434" t="s">
        <v>72</v>
      </c>
      <c r="L434" t="s">
        <v>954</v>
      </c>
      <c r="M434" s="1">
        <v>71415.56</v>
      </c>
      <c r="N434">
        <v>8</v>
      </c>
      <c r="O434" s="2">
        <v>0.15</v>
      </c>
      <c r="P434" s="1">
        <v>14757.41</v>
      </c>
      <c r="Q434" t="s">
        <v>115</v>
      </c>
      <c r="R434" t="s">
        <v>39</v>
      </c>
    </row>
    <row r="435" spans="1:18" x14ac:dyDescent="0.3">
      <c r="A435">
        <v>1434</v>
      </c>
      <c r="B435" s="3">
        <v>45682</v>
      </c>
      <c r="C435" s="3">
        <v>45684</v>
      </c>
      <c r="D435" t="s">
        <v>725</v>
      </c>
      <c r="E435" t="s">
        <v>84</v>
      </c>
      <c r="F435" t="s">
        <v>31</v>
      </c>
      <c r="G435" t="s">
        <v>95</v>
      </c>
      <c r="H435" t="s">
        <v>22</v>
      </c>
      <c r="I435" t="s">
        <v>23</v>
      </c>
      <c r="J435" t="s">
        <v>24</v>
      </c>
      <c r="K435" t="s">
        <v>212</v>
      </c>
      <c r="L435" t="s">
        <v>955</v>
      </c>
      <c r="M435" s="1">
        <v>55684.89</v>
      </c>
      <c r="N435">
        <v>7</v>
      </c>
      <c r="O435" s="2">
        <v>0.05</v>
      </c>
      <c r="P435" s="1">
        <v>5257.33</v>
      </c>
      <c r="Q435" t="s">
        <v>52</v>
      </c>
      <c r="R435" t="s">
        <v>28</v>
      </c>
    </row>
    <row r="436" spans="1:18" x14ac:dyDescent="0.3">
      <c r="A436">
        <v>1435</v>
      </c>
      <c r="B436" s="3">
        <v>45938</v>
      </c>
      <c r="C436" s="3">
        <v>45940</v>
      </c>
      <c r="D436" t="s">
        <v>208</v>
      </c>
      <c r="E436" t="s">
        <v>717</v>
      </c>
      <c r="F436" t="s">
        <v>20</v>
      </c>
      <c r="G436" t="s">
        <v>21</v>
      </c>
      <c r="H436" t="s">
        <v>22</v>
      </c>
      <c r="I436" t="s">
        <v>23</v>
      </c>
      <c r="J436" t="s">
        <v>64</v>
      </c>
      <c r="K436" t="s">
        <v>104</v>
      </c>
      <c r="L436" t="s">
        <v>956</v>
      </c>
      <c r="M436" s="1">
        <v>17335.400000000001</v>
      </c>
      <c r="N436">
        <v>8</v>
      </c>
      <c r="O436" s="2">
        <v>0.3</v>
      </c>
      <c r="P436" s="1">
        <v>1088.78</v>
      </c>
      <c r="Q436" t="s">
        <v>115</v>
      </c>
      <c r="R436" t="s">
        <v>53</v>
      </c>
    </row>
    <row r="437" spans="1:18" x14ac:dyDescent="0.3">
      <c r="A437">
        <v>1436</v>
      </c>
      <c r="B437" s="3">
        <v>45609</v>
      </c>
      <c r="C437" s="3">
        <v>45610</v>
      </c>
      <c r="D437" t="s">
        <v>792</v>
      </c>
      <c r="E437" t="s">
        <v>646</v>
      </c>
      <c r="F437" t="s">
        <v>46</v>
      </c>
      <c r="G437" t="s">
        <v>95</v>
      </c>
      <c r="H437" t="s">
        <v>22</v>
      </c>
      <c r="I437" t="s">
        <v>23</v>
      </c>
      <c r="J437" t="s">
        <v>64</v>
      </c>
      <c r="K437" t="s">
        <v>104</v>
      </c>
      <c r="L437" t="s">
        <v>957</v>
      </c>
      <c r="M437" s="1">
        <v>20234.29</v>
      </c>
      <c r="N437">
        <v>2</v>
      </c>
      <c r="O437" s="2">
        <v>0.25</v>
      </c>
      <c r="P437" s="1">
        <v>3975.37</v>
      </c>
      <c r="Q437" t="s">
        <v>27</v>
      </c>
      <c r="R437" t="s">
        <v>53</v>
      </c>
    </row>
    <row r="438" spans="1:18" x14ac:dyDescent="0.3">
      <c r="A438">
        <v>1437</v>
      </c>
      <c r="B438" s="3">
        <v>46021</v>
      </c>
      <c r="C438" s="3">
        <v>46025</v>
      </c>
      <c r="D438" t="s">
        <v>958</v>
      </c>
      <c r="E438" t="s">
        <v>959</v>
      </c>
      <c r="F438" t="s">
        <v>46</v>
      </c>
      <c r="G438" t="s">
        <v>47</v>
      </c>
      <c r="H438" t="s">
        <v>48</v>
      </c>
      <c r="I438" t="s">
        <v>49</v>
      </c>
      <c r="J438" t="s">
        <v>24</v>
      </c>
      <c r="K438" t="s">
        <v>224</v>
      </c>
      <c r="L438" t="s">
        <v>960</v>
      </c>
      <c r="M438" s="1">
        <v>29164.19</v>
      </c>
      <c r="N438">
        <v>6</v>
      </c>
      <c r="O438" s="2">
        <v>0.1</v>
      </c>
      <c r="P438" s="1">
        <v>3655.6</v>
      </c>
      <c r="Q438" t="s">
        <v>27</v>
      </c>
      <c r="R438" t="s">
        <v>53</v>
      </c>
    </row>
    <row r="439" spans="1:18" x14ac:dyDescent="0.3">
      <c r="A439">
        <v>1438</v>
      </c>
      <c r="B439" s="3">
        <v>45546</v>
      </c>
      <c r="C439" s="3">
        <v>45547</v>
      </c>
      <c r="D439" t="s">
        <v>458</v>
      </c>
      <c r="E439" t="s">
        <v>293</v>
      </c>
      <c r="F439" t="s">
        <v>31</v>
      </c>
      <c r="G439" t="s">
        <v>70</v>
      </c>
      <c r="H439" t="s">
        <v>71</v>
      </c>
      <c r="I439" t="s">
        <v>58</v>
      </c>
      <c r="J439" t="s">
        <v>35</v>
      </c>
      <c r="K439" t="s">
        <v>129</v>
      </c>
      <c r="L439" t="s">
        <v>961</v>
      </c>
      <c r="M439" s="1">
        <v>76176.87</v>
      </c>
      <c r="N439">
        <v>8</v>
      </c>
      <c r="O439" s="2">
        <v>0.15</v>
      </c>
      <c r="P439" s="1">
        <v>16715.05</v>
      </c>
      <c r="Q439" t="s">
        <v>61</v>
      </c>
      <c r="R439" t="s">
        <v>39</v>
      </c>
    </row>
    <row r="440" spans="1:18" x14ac:dyDescent="0.3">
      <c r="A440">
        <v>1439</v>
      </c>
      <c r="B440" s="3">
        <v>45639</v>
      </c>
      <c r="C440" s="3">
        <v>45643</v>
      </c>
      <c r="D440" t="s">
        <v>425</v>
      </c>
      <c r="E440" t="s">
        <v>303</v>
      </c>
      <c r="F440" t="s">
        <v>46</v>
      </c>
      <c r="G440" t="s">
        <v>70</v>
      </c>
      <c r="H440" t="s">
        <v>71</v>
      </c>
      <c r="I440" t="s">
        <v>58</v>
      </c>
      <c r="J440" t="s">
        <v>24</v>
      </c>
      <c r="K440" t="s">
        <v>25</v>
      </c>
      <c r="L440" t="s">
        <v>962</v>
      </c>
      <c r="M440" s="1">
        <v>22373.86</v>
      </c>
      <c r="N440">
        <v>9</v>
      </c>
      <c r="O440" s="2">
        <v>0.15</v>
      </c>
      <c r="P440" s="1">
        <v>658.54</v>
      </c>
      <c r="Q440" t="s">
        <v>61</v>
      </c>
      <c r="R440" t="s">
        <v>53</v>
      </c>
    </row>
    <row r="441" spans="1:18" x14ac:dyDescent="0.3">
      <c r="A441">
        <v>1440</v>
      </c>
      <c r="B441" s="3">
        <v>45519</v>
      </c>
      <c r="C441" s="3">
        <v>45521</v>
      </c>
      <c r="D441" t="s">
        <v>677</v>
      </c>
      <c r="E441" t="s">
        <v>938</v>
      </c>
      <c r="F441" t="s">
        <v>31</v>
      </c>
      <c r="G441" t="s">
        <v>102</v>
      </c>
      <c r="H441" t="s">
        <v>103</v>
      </c>
      <c r="I441" t="s">
        <v>58</v>
      </c>
      <c r="J441" t="s">
        <v>35</v>
      </c>
      <c r="K441" t="s">
        <v>42</v>
      </c>
      <c r="L441" t="s">
        <v>963</v>
      </c>
      <c r="M441" s="1">
        <v>62381.87</v>
      </c>
      <c r="N441">
        <v>4</v>
      </c>
      <c r="O441" s="2">
        <v>0.1</v>
      </c>
      <c r="P441" s="1">
        <v>13607.96</v>
      </c>
      <c r="Q441" t="s">
        <v>61</v>
      </c>
      <c r="R441" t="s">
        <v>28</v>
      </c>
    </row>
    <row r="442" spans="1:18" x14ac:dyDescent="0.3">
      <c r="A442">
        <v>1441</v>
      </c>
      <c r="B442" s="3">
        <v>45520</v>
      </c>
      <c r="C442" s="3">
        <v>45523</v>
      </c>
      <c r="D442" t="s">
        <v>246</v>
      </c>
      <c r="E442" t="s">
        <v>595</v>
      </c>
      <c r="F442" t="s">
        <v>31</v>
      </c>
      <c r="G442" t="s">
        <v>32</v>
      </c>
      <c r="H442" t="s">
        <v>33</v>
      </c>
      <c r="I442" t="s">
        <v>34</v>
      </c>
      <c r="J442" t="s">
        <v>24</v>
      </c>
      <c r="K442" t="s">
        <v>25</v>
      </c>
      <c r="L442" t="s">
        <v>964</v>
      </c>
      <c r="M442" s="1">
        <v>89800.79</v>
      </c>
      <c r="N442">
        <v>6</v>
      </c>
      <c r="O442" s="2">
        <v>0</v>
      </c>
      <c r="P442" s="1">
        <v>25509.79</v>
      </c>
      <c r="Q442" t="s">
        <v>74</v>
      </c>
      <c r="R442" t="s">
        <v>120</v>
      </c>
    </row>
    <row r="443" spans="1:18" x14ac:dyDescent="0.3">
      <c r="A443">
        <v>1442</v>
      </c>
      <c r="B443" s="3">
        <v>45572</v>
      </c>
      <c r="C443" s="3">
        <v>45574</v>
      </c>
      <c r="D443" t="s">
        <v>776</v>
      </c>
      <c r="E443" t="s">
        <v>896</v>
      </c>
      <c r="F443" t="s">
        <v>31</v>
      </c>
      <c r="G443" t="s">
        <v>70</v>
      </c>
      <c r="H443" t="s">
        <v>71</v>
      </c>
      <c r="I443" t="s">
        <v>58</v>
      </c>
      <c r="J443" t="s">
        <v>64</v>
      </c>
      <c r="K443" t="s">
        <v>104</v>
      </c>
      <c r="L443" t="s">
        <v>965</v>
      </c>
      <c r="M443" s="1">
        <v>76096.399999999994</v>
      </c>
      <c r="N443">
        <v>6</v>
      </c>
      <c r="O443" s="2">
        <v>0.25</v>
      </c>
      <c r="P443" s="1">
        <v>439.61</v>
      </c>
      <c r="Q443" t="s">
        <v>82</v>
      </c>
      <c r="R443" t="s">
        <v>53</v>
      </c>
    </row>
    <row r="444" spans="1:18" x14ac:dyDescent="0.3">
      <c r="A444">
        <v>1443</v>
      </c>
      <c r="B444" s="3">
        <v>45737</v>
      </c>
      <c r="C444" s="3">
        <v>45741</v>
      </c>
      <c r="D444" t="s">
        <v>628</v>
      </c>
      <c r="E444" t="s">
        <v>901</v>
      </c>
      <c r="F444" t="s">
        <v>31</v>
      </c>
      <c r="G444" t="s">
        <v>85</v>
      </c>
      <c r="H444" t="s">
        <v>86</v>
      </c>
      <c r="I444" t="s">
        <v>49</v>
      </c>
      <c r="J444" t="s">
        <v>24</v>
      </c>
      <c r="K444" t="s">
        <v>25</v>
      </c>
      <c r="L444" t="s">
        <v>966</v>
      </c>
      <c r="M444" s="1">
        <v>57726.76</v>
      </c>
      <c r="N444">
        <v>8</v>
      </c>
      <c r="O444" s="2">
        <v>0.25</v>
      </c>
      <c r="P444" s="1">
        <v>11542.05</v>
      </c>
      <c r="Q444" t="s">
        <v>115</v>
      </c>
      <c r="R444" t="s">
        <v>53</v>
      </c>
    </row>
    <row r="445" spans="1:18" x14ac:dyDescent="0.3">
      <c r="A445">
        <v>1444</v>
      </c>
      <c r="B445" s="3">
        <v>45326</v>
      </c>
      <c r="C445" s="3">
        <v>45329</v>
      </c>
      <c r="D445" t="s">
        <v>337</v>
      </c>
      <c r="E445" t="s">
        <v>639</v>
      </c>
      <c r="F445" t="s">
        <v>31</v>
      </c>
      <c r="G445" t="s">
        <v>85</v>
      </c>
      <c r="H445" t="s">
        <v>86</v>
      </c>
      <c r="I445" t="s">
        <v>49</v>
      </c>
      <c r="J445" t="s">
        <v>24</v>
      </c>
      <c r="K445" t="s">
        <v>50</v>
      </c>
      <c r="L445" t="s">
        <v>967</v>
      </c>
      <c r="M445" s="1">
        <v>44084.04</v>
      </c>
      <c r="N445">
        <v>7</v>
      </c>
      <c r="O445" s="2">
        <v>0</v>
      </c>
      <c r="P445" s="1">
        <v>10313</v>
      </c>
      <c r="Q445" t="s">
        <v>74</v>
      </c>
      <c r="R445" t="s">
        <v>39</v>
      </c>
    </row>
    <row r="446" spans="1:18" x14ac:dyDescent="0.3">
      <c r="A446">
        <v>1445</v>
      </c>
      <c r="B446" s="3">
        <v>45846</v>
      </c>
      <c r="C446" s="3">
        <v>45848</v>
      </c>
      <c r="D446" t="s">
        <v>586</v>
      </c>
      <c r="E446" t="s">
        <v>968</v>
      </c>
      <c r="F446" t="s">
        <v>20</v>
      </c>
      <c r="G446" t="s">
        <v>56</v>
      </c>
      <c r="H446" t="s">
        <v>57</v>
      </c>
      <c r="I446" t="s">
        <v>58</v>
      </c>
      <c r="J446" t="s">
        <v>24</v>
      </c>
      <c r="K446" t="s">
        <v>50</v>
      </c>
      <c r="L446" t="s">
        <v>969</v>
      </c>
      <c r="M446" s="1">
        <v>27123.23</v>
      </c>
      <c r="N446">
        <v>7</v>
      </c>
      <c r="O446" s="2">
        <v>0.15</v>
      </c>
      <c r="P446" s="1">
        <v>3863.52</v>
      </c>
      <c r="Q446" t="s">
        <v>38</v>
      </c>
      <c r="R446" t="s">
        <v>120</v>
      </c>
    </row>
    <row r="447" spans="1:18" x14ac:dyDescent="0.3">
      <c r="A447">
        <v>1446</v>
      </c>
      <c r="B447" s="3">
        <v>45685</v>
      </c>
      <c r="C447" s="3">
        <v>45691</v>
      </c>
      <c r="D447" t="s">
        <v>648</v>
      </c>
      <c r="E447" t="s">
        <v>510</v>
      </c>
      <c r="F447" t="s">
        <v>31</v>
      </c>
      <c r="G447" t="s">
        <v>95</v>
      </c>
      <c r="H447" t="s">
        <v>22</v>
      </c>
      <c r="I447" t="s">
        <v>23</v>
      </c>
      <c r="J447" t="s">
        <v>35</v>
      </c>
      <c r="K447" t="s">
        <v>129</v>
      </c>
      <c r="L447" t="s">
        <v>970</v>
      </c>
      <c r="M447" s="1">
        <v>14893.98</v>
      </c>
      <c r="N447">
        <v>4</v>
      </c>
      <c r="O447" s="2">
        <v>0</v>
      </c>
      <c r="P447" s="1">
        <v>2013.01</v>
      </c>
      <c r="Q447" t="s">
        <v>67</v>
      </c>
      <c r="R447" t="s">
        <v>53</v>
      </c>
    </row>
    <row r="448" spans="1:18" x14ac:dyDescent="0.3">
      <c r="A448">
        <v>1447</v>
      </c>
      <c r="B448" s="3">
        <v>45665</v>
      </c>
      <c r="C448" s="3">
        <v>45669</v>
      </c>
      <c r="D448" t="s">
        <v>518</v>
      </c>
      <c r="E448" t="s">
        <v>589</v>
      </c>
      <c r="F448" t="s">
        <v>20</v>
      </c>
      <c r="G448" t="s">
        <v>70</v>
      </c>
      <c r="H448" t="s">
        <v>71</v>
      </c>
      <c r="I448" t="s">
        <v>58</v>
      </c>
      <c r="J448" t="s">
        <v>64</v>
      </c>
      <c r="K448" t="s">
        <v>65</v>
      </c>
      <c r="L448" t="s">
        <v>888</v>
      </c>
      <c r="M448" s="1">
        <v>66294.3</v>
      </c>
      <c r="N448">
        <v>3</v>
      </c>
      <c r="O448" s="2">
        <v>0.25</v>
      </c>
      <c r="P448" s="1">
        <v>5774.57</v>
      </c>
      <c r="Q448" t="s">
        <v>27</v>
      </c>
      <c r="R448" t="s">
        <v>39</v>
      </c>
    </row>
    <row r="449" spans="1:18" x14ac:dyDescent="0.3">
      <c r="A449">
        <v>1448</v>
      </c>
      <c r="B449" s="3">
        <v>46010</v>
      </c>
      <c r="C449" s="3">
        <v>46011</v>
      </c>
      <c r="D449" t="s">
        <v>971</v>
      </c>
      <c r="E449" t="s">
        <v>972</v>
      </c>
      <c r="F449" t="s">
        <v>46</v>
      </c>
      <c r="G449" t="s">
        <v>56</v>
      </c>
      <c r="H449" t="s">
        <v>57</v>
      </c>
      <c r="I449" t="s">
        <v>58</v>
      </c>
      <c r="J449" t="s">
        <v>24</v>
      </c>
      <c r="K449" t="s">
        <v>25</v>
      </c>
      <c r="L449" t="s">
        <v>973</v>
      </c>
      <c r="M449" s="1">
        <v>59705.21</v>
      </c>
      <c r="N449">
        <v>4</v>
      </c>
      <c r="O449" s="2">
        <v>0.05</v>
      </c>
      <c r="P449" s="1">
        <v>4928.7700000000004</v>
      </c>
      <c r="Q449" t="s">
        <v>52</v>
      </c>
      <c r="R449" t="s">
        <v>53</v>
      </c>
    </row>
    <row r="450" spans="1:18" x14ac:dyDescent="0.3">
      <c r="A450">
        <v>1449</v>
      </c>
      <c r="B450" s="3">
        <v>45637</v>
      </c>
      <c r="C450" s="3">
        <v>45640</v>
      </c>
      <c r="D450" t="s">
        <v>529</v>
      </c>
      <c r="E450" t="s">
        <v>299</v>
      </c>
      <c r="F450" t="s">
        <v>46</v>
      </c>
      <c r="G450" t="s">
        <v>56</v>
      </c>
      <c r="H450" t="s">
        <v>57</v>
      </c>
      <c r="I450" t="s">
        <v>58</v>
      </c>
      <c r="J450" t="s">
        <v>64</v>
      </c>
      <c r="K450" t="s">
        <v>157</v>
      </c>
      <c r="L450" t="s">
        <v>974</v>
      </c>
      <c r="M450" s="1">
        <v>12582.49</v>
      </c>
      <c r="N450">
        <v>4</v>
      </c>
      <c r="O450" s="2">
        <v>0</v>
      </c>
      <c r="P450" s="1">
        <v>2272.6799999999998</v>
      </c>
      <c r="Q450" t="s">
        <v>38</v>
      </c>
      <c r="R450" t="s">
        <v>28</v>
      </c>
    </row>
    <row r="451" spans="1:18" x14ac:dyDescent="0.3">
      <c r="A451">
        <v>1450</v>
      </c>
      <c r="B451" s="3">
        <v>45528</v>
      </c>
      <c r="C451" s="3">
        <v>45530</v>
      </c>
      <c r="D451" t="s">
        <v>345</v>
      </c>
      <c r="E451" t="s">
        <v>384</v>
      </c>
      <c r="F451" t="s">
        <v>46</v>
      </c>
      <c r="G451" t="s">
        <v>112</v>
      </c>
      <c r="H451" t="s">
        <v>113</v>
      </c>
      <c r="I451" t="s">
        <v>49</v>
      </c>
      <c r="J451" t="s">
        <v>64</v>
      </c>
      <c r="K451" t="s">
        <v>104</v>
      </c>
      <c r="L451" t="s">
        <v>975</v>
      </c>
      <c r="M451" s="1">
        <v>67014.289999999994</v>
      </c>
      <c r="N451">
        <v>7</v>
      </c>
      <c r="O451" s="2">
        <v>0.05</v>
      </c>
      <c r="P451" s="1">
        <v>9893.7099999999991</v>
      </c>
      <c r="Q451" t="s">
        <v>67</v>
      </c>
      <c r="R451" t="s">
        <v>28</v>
      </c>
    </row>
    <row r="452" spans="1:18" x14ac:dyDescent="0.3">
      <c r="A452">
        <v>1451</v>
      </c>
      <c r="B452" s="3">
        <v>45773</v>
      </c>
      <c r="C452" s="3">
        <v>45776</v>
      </c>
      <c r="D452" t="s">
        <v>40</v>
      </c>
      <c r="E452" t="s">
        <v>495</v>
      </c>
      <c r="F452" t="s">
        <v>46</v>
      </c>
      <c r="G452" t="s">
        <v>21</v>
      </c>
      <c r="H452" t="s">
        <v>22</v>
      </c>
      <c r="I452" t="s">
        <v>23</v>
      </c>
      <c r="J452" t="s">
        <v>64</v>
      </c>
      <c r="K452" t="s">
        <v>65</v>
      </c>
      <c r="L452" t="s">
        <v>976</v>
      </c>
      <c r="M452" s="1">
        <v>43521.22</v>
      </c>
      <c r="N452">
        <v>10</v>
      </c>
      <c r="O452" s="2">
        <v>0.2</v>
      </c>
      <c r="P452" s="1">
        <v>9081.34</v>
      </c>
      <c r="Q452" t="s">
        <v>52</v>
      </c>
      <c r="R452" t="s">
        <v>39</v>
      </c>
    </row>
    <row r="453" spans="1:18" x14ac:dyDescent="0.3">
      <c r="A453">
        <v>1452</v>
      </c>
      <c r="B453" s="3">
        <v>45741</v>
      </c>
      <c r="C453" s="3">
        <v>45744</v>
      </c>
      <c r="D453" t="s">
        <v>380</v>
      </c>
      <c r="E453" t="s">
        <v>553</v>
      </c>
      <c r="F453" t="s">
        <v>20</v>
      </c>
      <c r="G453" t="s">
        <v>70</v>
      </c>
      <c r="H453" t="s">
        <v>71</v>
      </c>
      <c r="I453" t="s">
        <v>58</v>
      </c>
      <c r="J453" t="s">
        <v>35</v>
      </c>
      <c r="K453" t="s">
        <v>129</v>
      </c>
      <c r="L453" t="s">
        <v>977</v>
      </c>
      <c r="M453" s="1">
        <v>34767.949999999997</v>
      </c>
      <c r="N453">
        <v>6</v>
      </c>
      <c r="O453" s="2">
        <v>0.3</v>
      </c>
      <c r="P453" s="1">
        <v>2131.4299999999998</v>
      </c>
      <c r="Q453" t="s">
        <v>61</v>
      </c>
      <c r="R453" t="s">
        <v>120</v>
      </c>
    </row>
    <row r="454" spans="1:18" x14ac:dyDescent="0.3">
      <c r="A454">
        <v>1453</v>
      </c>
      <c r="B454" s="3">
        <v>45894</v>
      </c>
      <c r="C454" s="3">
        <v>45900</v>
      </c>
      <c r="D454" t="s">
        <v>412</v>
      </c>
      <c r="E454" t="s">
        <v>84</v>
      </c>
      <c r="F454" t="s">
        <v>46</v>
      </c>
      <c r="G454" t="s">
        <v>102</v>
      </c>
      <c r="H454" t="s">
        <v>103</v>
      </c>
      <c r="I454" t="s">
        <v>58</v>
      </c>
      <c r="J454" t="s">
        <v>64</v>
      </c>
      <c r="K454" t="s">
        <v>65</v>
      </c>
      <c r="L454" t="s">
        <v>978</v>
      </c>
      <c r="M454" s="1">
        <v>63394.44</v>
      </c>
      <c r="N454">
        <v>7</v>
      </c>
      <c r="O454" s="2">
        <v>0.1</v>
      </c>
      <c r="P454" s="1">
        <v>2896.56</v>
      </c>
      <c r="Q454" t="s">
        <v>67</v>
      </c>
      <c r="R454" t="s">
        <v>120</v>
      </c>
    </row>
    <row r="455" spans="1:18" x14ac:dyDescent="0.3">
      <c r="A455">
        <v>1454</v>
      </c>
      <c r="B455" s="3">
        <v>45927</v>
      </c>
      <c r="C455" s="3">
        <v>45930</v>
      </c>
      <c r="D455" t="s">
        <v>854</v>
      </c>
      <c r="E455" t="s">
        <v>979</v>
      </c>
      <c r="F455" t="s">
        <v>20</v>
      </c>
      <c r="G455" t="s">
        <v>118</v>
      </c>
      <c r="H455" t="s">
        <v>118</v>
      </c>
      <c r="I455" t="s">
        <v>34</v>
      </c>
      <c r="J455" t="s">
        <v>35</v>
      </c>
      <c r="K455" t="s">
        <v>129</v>
      </c>
      <c r="L455" t="s">
        <v>980</v>
      </c>
      <c r="M455" s="1">
        <v>58125.01</v>
      </c>
      <c r="N455">
        <v>8</v>
      </c>
      <c r="O455" s="2">
        <v>0.3</v>
      </c>
      <c r="P455" s="1">
        <v>5483.44</v>
      </c>
      <c r="Q455" t="s">
        <v>52</v>
      </c>
      <c r="R455" t="s">
        <v>28</v>
      </c>
    </row>
    <row r="456" spans="1:18" x14ac:dyDescent="0.3">
      <c r="A456">
        <v>1455</v>
      </c>
      <c r="B456" s="3">
        <v>45767</v>
      </c>
      <c r="C456" s="3">
        <v>45771</v>
      </c>
      <c r="D456" t="s">
        <v>393</v>
      </c>
      <c r="E456" t="s">
        <v>156</v>
      </c>
      <c r="F456" t="s">
        <v>20</v>
      </c>
      <c r="G456" t="s">
        <v>70</v>
      </c>
      <c r="H456" t="s">
        <v>71</v>
      </c>
      <c r="I456" t="s">
        <v>58</v>
      </c>
      <c r="J456" t="s">
        <v>24</v>
      </c>
      <c r="K456" t="s">
        <v>25</v>
      </c>
      <c r="L456" t="s">
        <v>981</v>
      </c>
      <c r="M456" s="1">
        <v>64740.06</v>
      </c>
      <c r="N456">
        <v>3</v>
      </c>
      <c r="O456" s="2">
        <v>0.05</v>
      </c>
      <c r="P456" s="1">
        <v>11973.44</v>
      </c>
      <c r="Q456" t="s">
        <v>38</v>
      </c>
      <c r="R456" t="s">
        <v>28</v>
      </c>
    </row>
    <row r="457" spans="1:18" x14ac:dyDescent="0.3">
      <c r="A457">
        <v>1456</v>
      </c>
      <c r="B457" s="3">
        <v>45663</v>
      </c>
      <c r="C457" s="3">
        <v>45669</v>
      </c>
      <c r="D457" t="s">
        <v>361</v>
      </c>
      <c r="E457" t="s">
        <v>858</v>
      </c>
      <c r="F457" t="s">
        <v>46</v>
      </c>
      <c r="G457" t="s">
        <v>107</v>
      </c>
      <c r="H457" t="s">
        <v>108</v>
      </c>
      <c r="I457" t="s">
        <v>34</v>
      </c>
      <c r="J457" t="s">
        <v>64</v>
      </c>
      <c r="K457" t="s">
        <v>65</v>
      </c>
      <c r="L457" t="s">
        <v>982</v>
      </c>
      <c r="M457" s="1">
        <v>39901.71</v>
      </c>
      <c r="N457">
        <v>2</v>
      </c>
      <c r="O457" s="2">
        <v>0.15</v>
      </c>
      <c r="P457" s="1">
        <v>5130.71</v>
      </c>
      <c r="Q457" t="s">
        <v>61</v>
      </c>
      <c r="R457" t="s">
        <v>28</v>
      </c>
    </row>
    <row r="458" spans="1:18" x14ac:dyDescent="0.3">
      <c r="A458">
        <v>1457</v>
      </c>
      <c r="B458" s="3">
        <v>45747</v>
      </c>
      <c r="C458" s="3">
        <v>45753</v>
      </c>
      <c r="D458" t="s">
        <v>983</v>
      </c>
      <c r="E458" t="s">
        <v>984</v>
      </c>
      <c r="F458" t="s">
        <v>31</v>
      </c>
      <c r="G458" t="s">
        <v>21</v>
      </c>
      <c r="H458" t="s">
        <v>22</v>
      </c>
      <c r="I458" t="s">
        <v>23</v>
      </c>
      <c r="J458" t="s">
        <v>35</v>
      </c>
      <c r="K458" t="s">
        <v>36</v>
      </c>
      <c r="L458" t="s">
        <v>985</v>
      </c>
      <c r="M458" s="1">
        <v>13269.59</v>
      </c>
      <c r="N458">
        <v>6</v>
      </c>
      <c r="O458" s="2">
        <v>0.3</v>
      </c>
      <c r="P458" s="1">
        <v>1657.78</v>
      </c>
      <c r="Q458" t="s">
        <v>27</v>
      </c>
      <c r="R458" t="s">
        <v>120</v>
      </c>
    </row>
    <row r="459" spans="1:18" x14ac:dyDescent="0.3">
      <c r="A459">
        <v>1458</v>
      </c>
      <c r="B459" s="3">
        <v>45773</v>
      </c>
      <c r="C459" s="3">
        <v>45775</v>
      </c>
      <c r="D459" t="s">
        <v>829</v>
      </c>
      <c r="E459" t="s">
        <v>481</v>
      </c>
      <c r="F459" t="s">
        <v>20</v>
      </c>
      <c r="G459" t="s">
        <v>90</v>
      </c>
      <c r="H459" t="s">
        <v>91</v>
      </c>
      <c r="I459" t="s">
        <v>23</v>
      </c>
      <c r="J459" t="s">
        <v>24</v>
      </c>
      <c r="K459" t="s">
        <v>224</v>
      </c>
      <c r="L459" t="s">
        <v>986</v>
      </c>
      <c r="M459" s="1">
        <v>69436.92</v>
      </c>
      <c r="N459">
        <v>2</v>
      </c>
      <c r="O459" s="2">
        <v>0.15</v>
      </c>
      <c r="P459" s="1">
        <v>1511.08</v>
      </c>
      <c r="Q459" t="s">
        <v>115</v>
      </c>
      <c r="R459" t="s">
        <v>53</v>
      </c>
    </row>
    <row r="460" spans="1:18" x14ac:dyDescent="0.3">
      <c r="A460">
        <v>1459</v>
      </c>
      <c r="B460" s="3">
        <v>45661</v>
      </c>
      <c r="C460" s="3">
        <v>45662</v>
      </c>
      <c r="D460" t="s">
        <v>414</v>
      </c>
      <c r="E460" t="s">
        <v>218</v>
      </c>
      <c r="F460" t="s">
        <v>20</v>
      </c>
      <c r="G460" t="s">
        <v>107</v>
      </c>
      <c r="H460" t="s">
        <v>108</v>
      </c>
      <c r="I460" t="s">
        <v>34</v>
      </c>
      <c r="J460" t="s">
        <v>35</v>
      </c>
      <c r="K460" t="s">
        <v>42</v>
      </c>
      <c r="L460" t="s">
        <v>987</v>
      </c>
      <c r="M460" s="1">
        <v>64283.98</v>
      </c>
      <c r="N460">
        <v>4</v>
      </c>
      <c r="O460" s="2">
        <v>0.2</v>
      </c>
      <c r="P460" s="1">
        <v>3231.01</v>
      </c>
      <c r="Q460" t="s">
        <v>27</v>
      </c>
      <c r="R460" t="s">
        <v>53</v>
      </c>
    </row>
    <row r="461" spans="1:18" x14ac:dyDescent="0.3">
      <c r="A461">
        <v>1460</v>
      </c>
      <c r="B461" s="3">
        <v>45391</v>
      </c>
      <c r="C461" s="3">
        <v>45397</v>
      </c>
      <c r="D461" t="s">
        <v>988</v>
      </c>
      <c r="E461" t="s">
        <v>117</v>
      </c>
      <c r="F461" t="s">
        <v>20</v>
      </c>
      <c r="G461" t="s">
        <v>32</v>
      </c>
      <c r="H461" t="s">
        <v>33</v>
      </c>
      <c r="I461" t="s">
        <v>34</v>
      </c>
      <c r="J461" t="s">
        <v>24</v>
      </c>
      <c r="K461" t="s">
        <v>72</v>
      </c>
      <c r="L461" t="s">
        <v>989</v>
      </c>
      <c r="M461" s="1">
        <v>25402.09</v>
      </c>
      <c r="N461">
        <v>7</v>
      </c>
      <c r="O461" s="2">
        <v>0.25</v>
      </c>
      <c r="P461" s="1">
        <v>505.31</v>
      </c>
      <c r="Q461" t="s">
        <v>38</v>
      </c>
      <c r="R461" t="s">
        <v>39</v>
      </c>
    </row>
    <row r="462" spans="1:18" x14ac:dyDescent="0.3">
      <c r="A462">
        <v>1461</v>
      </c>
      <c r="B462" s="3">
        <v>45312</v>
      </c>
      <c r="C462" s="3">
        <v>45315</v>
      </c>
      <c r="D462" t="s">
        <v>134</v>
      </c>
      <c r="E462" t="s">
        <v>990</v>
      </c>
      <c r="F462" t="s">
        <v>20</v>
      </c>
      <c r="G462" t="s">
        <v>47</v>
      </c>
      <c r="H462" t="s">
        <v>48</v>
      </c>
      <c r="I462" t="s">
        <v>49</v>
      </c>
      <c r="J462" t="s">
        <v>35</v>
      </c>
      <c r="K462" t="s">
        <v>129</v>
      </c>
      <c r="L462" t="s">
        <v>991</v>
      </c>
      <c r="M462" s="1">
        <v>41294.39</v>
      </c>
      <c r="N462">
        <v>4</v>
      </c>
      <c r="O462" s="2">
        <v>0.25</v>
      </c>
      <c r="P462" s="1">
        <v>6569.72</v>
      </c>
      <c r="Q462" t="s">
        <v>74</v>
      </c>
      <c r="R462" t="s">
        <v>53</v>
      </c>
    </row>
    <row r="463" spans="1:18" x14ac:dyDescent="0.3">
      <c r="A463">
        <v>1462</v>
      </c>
      <c r="B463" s="3">
        <v>45340</v>
      </c>
      <c r="C463" s="3">
        <v>45341</v>
      </c>
      <c r="D463" t="s">
        <v>204</v>
      </c>
      <c r="E463" t="s">
        <v>649</v>
      </c>
      <c r="F463" t="s">
        <v>20</v>
      </c>
      <c r="G463" t="s">
        <v>112</v>
      </c>
      <c r="H463" t="s">
        <v>113</v>
      </c>
      <c r="I463" t="s">
        <v>49</v>
      </c>
      <c r="J463" t="s">
        <v>24</v>
      </c>
      <c r="K463" t="s">
        <v>224</v>
      </c>
      <c r="L463" t="s">
        <v>992</v>
      </c>
      <c r="M463" s="1">
        <v>38232.080000000002</v>
      </c>
      <c r="N463">
        <v>8</v>
      </c>
      <c r="O463" s="2">
        <v>0.2</v>
      </c>
      <c r="P463" s="1">
        <v>1617.73</v>
      </c>
      <c r="Q463" t="s">
        <v>74</v>
      </c>
      <c r="R463" t="s">
        <v>120</v>
      </c>
    </row>
    <row r="464" spans="1:18" x14ac:dyDescent="0.3">
      <c r="A464">
        <v>1463</v>
      </c>
      <c r="B464" s="3">
        <v>45454</v>
      </c>
      <c r="C464" s="3">
        <v>45459</v>
      </c>
      <c r="D464" t="s">
        <v>599</v>
      </c>
      <c r="E464" t="s">
        <v>993</v>
      </c>
      <c r="F464" t="s">
        <v>20</v>
      </c>
      <c r="G464" t="s">
        <v>90</v>
      </c>
      <c r="H464" t="s">
        <v>91</v>
      </c>
      <c r="I464" t="s">
        <v>23</v>
      </c>
      <c r="J464" t="s">
        <v>35</v>
      </c>
      <c r="K464" t="s">
        <v>129</v>
      </c>
      <c r="L464" t="s">
        <v>994</v>
      </c>
      <c r="M464" s="1">
        <v>56316.47</v>
      </c>
      <c r="N464">
        <v>5</v>
      </c>
      <c r="O464" s="2">
        <v>0.15</v>
      </c>
      <c r="P464" s="1">
        <v>6646.47</v>
      </c>
      <c r="Q464" t="s">
        <v>82</v>
      </c>
      <c r="R464" t="s">
        <v>53</v>
      </c>
    </row>
    <row r="465" spans="1:18" x14ac:dyDescent="0.3">
      <c r="A465">
        <v>1464</v>
      </c>
      <c r="B465" s="3">
        <v>45712</v>
      </c>
      <c r="C465" s="3">
        <v>45717</v>
      </c>
      <c r="D465" t="s">
        <v>289</v>
      </c>
      <c r="E465" t="s">
        <v>995</v>
      </c>
      <c r="F465" t="s">
        <v>20</v>
      </c>
      <c r="G465" t="s">
        <v>21</v>
      </c>
      <c r="H465" t="s">
        <v>22</v>
      </c>
      <c r="I465" t="s">
        <v>23</v>
      </c>
      <c r="J465" t="s">
        <v>24</v>
      </c>
      <c r="K465" t="s">
        <v>72</v>
      </c>
      <c r="L465" t="s">
        <v>996</v>
      </c>
      <c r="M465" s="1">
        <v>21444.44</v>
      </c>
      <c r="N465">
        <v>4</v>
      </c>
      <c r="O465" s="2">
        <v>0.05</v>
      </c>
      <c r="P465" s="1">
        <v>2691.32</v>
      </c>
      <c r="Q465" t="s">
        <v>52</v>
      </c>
      <c r="R465" t="s">
        <v>28</v>
      </c>
    </row>
    <row r="466" spans="1:18" x14ac:dyDescent="0.3">
      <c r="A466">
        <v>1465</v>
      </c>
      <c r="B466" s="3">
        <v>45454</v>
      </c>
      <c r="C466" s="3">
        <v>45459</v>
      </c>
      <c r="D466" t="s">
        <v>684</v>
      </c>
      <c r="E466" t="s">
        <v>533</v>
      </c>
      <c r="F466" t="s">
        <v>20</v>
      </c>
      <c r="G466" t="s">
        <v>70</v>
      </c>
      <c r="H466" t="s">
        <v>71</v>
      </c>
      <c r="I466" t="s">
        <v>58</v>
      </c>
      <c r="J466" t="s">
        <v>64</v>
      </c>
      <c r="K466" t="s">
        <v>157</v>
      </c>
      <c r="L466" t="s">
        <v>997</v>
      </c>
      <c r="M466" s="1">
        <v>82831.14</v>
      </c>
      <c r="N466">
        <v>8</v>
      </c>
      <c r="O466" s="2">
        <v>0</v>
      </c>
      <c r="P466" s="1">
        <v>24628.35</v>
      </c>
      <c r="Q466" t="s">
        <v>67</v>
      </c>
      <c r="R466" t="s">
        <v>28</v>
      </c>
    </row>
    <row r="467" spans="1:18" x14ac:dyDescent="0.3">
      <c r="A467">
        <v>1466</v>
      </c>
      <c r="B467" s="3">
        <v>45541</v>
      </c>
      <c r="C467" s="3">
        <v>45544</v>
      </c>
      <c r="D467" t="s">
        <v>929</v>
      </c>
      <c r="E467" t="s">
        <v>998</v>
      </c>
      <c r="F467" t="s">
        <v>46</v>
      </c>
      <c r="G467" t="s">
        <v>118</v>
      </c>
      <c r="H467" t="s">
        <v>118</v>
      </c>
      <c r="I467" t="s">
        <v>34</v>
      </c>
      <c r="J467" t="s">
        <v>64</v>
      </c>
      <c r="K467" t="s">
        <v>157</v>
      </c>
      <c r="L467" t="s">
        <v>999</v>
      </c>
      <c r="M467" s="1">
        <v>41813.67</v>
      </c>
      <c r="N467">
        <v>8</v>
      </c>
      <c r="O467" s="2">
        <v>0</v>
      </c>
      <c r="P467" s="1">
        <v>3771.41</v>
      </c>
      <c r="Q467" t="s">
        <v>52</v>
      </c>
      <c r="R467" t="s">
        <v>28</v>
      </c>
    </row>
    <row r="468" spans="1:18" x14ac:dyDescent="0.3">
      <c r="A468">
        <v>1467</v>
      </c>
      <c r="B468" s="3">
        <v>45596</v>
      </c>
      <c r="C468" s="3">
        <v>45597</v>
      </c>
      <c r="D468" t="s">
        <v>664</v>
      </c>
      <c r="E468" t="s">
        <v>508</v>
      </c>
      <c r="F468" t="s">
        <v>46</v>
      </c>
      <c r="G468" t="s">
        <v>102</v>
      </c>
      <c r="H468" t="s">
        <v>103</v>
      </c>
      <c r="I468" t="s">
        <v>58</v>
      </c>
      <c r="J468" t="s">
        <v>24</v>
      </c>
      <c r="K468" t="s">
        <v>212</v>
      </c>
      <c r="L468" t="s">
        <v>1000</v>
      </c>
      <c r="M468" s="1">
        <v>50049.11</v>
      </c>
      <c r="N468">
        <v>6</v>
      </c>
      <c r="O468" s="2">
        <v>0</v>
      </c>
      <c r="P468" s="1">
        <v>10014.040000000001</v>
      </c>
      <c r="Q468" t="s">
        <v>67</v>
      </c>
      <c r="R468" t="s">
        <v>120</v>
      </c>
    </row>
    <row r="469" spans="1:18" x14ac:dyDescent="0.3">
      <c r="A469">
        <v>1468</v>
      </c>
      <c r="B469" s="3">
        <v>45711</v>
      </c>
      <c r="C469" s="3">
        <v>45717</v>
      </c>
      <c r="D469" t="s">
        <v>286</v>
      </c>
      <c r="E469" t="s">
        <v>89</v>
      </c>
      <c r="F469" t="s">
        <v>46</v>
      </c>
      <c r="G469" t="s">
        <v>112</v>
      </c>
      <c r="H469" t="s">
        <v>113</v>
      </c>
      <c r="I469" t="s">
        <v>49</v>
      </c>
      <c r="J469" t="s">
        <v>24</v>
      </c>
      <c r="K469" t="s">
        <v>72</v>
      </c>
      <c r="L469" t="s">
        <v>1001</v>
      </c>
      <c r="M469" s="1">
        <v>78566.95</v>
      </c>
      <c r="N469">
        <v>8</v>
      </c>
      <c r="O469" s="2">
        <v>0</v>
      </c>
      <c r="P469" s="1">
        <v>22415.31</v>
      </c>
      <c r="Q469" t="s">
        <v>38</v>
      </c>
      <c r="R469" t="s">
        <v>39</v>
      </c>
    </row>
    <row r="470" spans="1:18" x14ac:dyDescent="0.3">
      <c r="A470">
        <v>1469</v>
      </c>
      <c r="B470" s="3">
        <v>45964</v>
      </c>
      <c r="C470" s="3">
        <v>45968</v>
      </c>
      <c r="D470" t="s">
        <v>529</v>
      </c>
      <c r="E470" t="s">
        <v>1002</v>
      </c>
      <c r="F470" t="s">
        <v>31</v>
      </c>
      <c r="G470" t="s">
        <v>47</v>
      </c>
      <c r="H470" t="s">
        <v>48</v>
      </c>
      <c r="I470" t="s">
        <v>49</v>
      </c>
      <c r="J470" t="s">
        <v>64</v>
      </c>
      <c r="K470" t="s">
        <v>188</v>
      </c>
      <c r="L470" t="s">
        <v>1003</v>
      </c>
      <c r="M470" s="1">
        <v>16793.87</v>
      </c>
      <c r="N470">
        <v>4</v>
      </c>
      <c r="O470" s="2">
        <v>0.25</v>
      </c>
      <c r="P470" s="1">
        <v>192.48</v>
      </c>
      <c r="Q470" t="s">
        <v>61</v>
      </c>
      <c r="R470" t="s">
        <v>28</v>
      </c>
    </row>
    <row r="471" spans="1:18" x14ac:dyDescent="0.3">
      <c r="A471">
        <v>1470</v>
      </c>
      <c r="B471" s="3">
        <v>45559</v>
      </c>
      <c r="C471" s="3">
        <v>45563</v>
      </c>
      <c r="D471" t="s">
        <v>756</v>
      </c>
      <c r="E471" t="s">
        <v>215</v>
      </c>
      <c r="F471" t="s">
        <v>31</v>
      </c>
      <c r="G471" t="s">
        <v>21</v>
      </c>
      <c r="H471" t="s">
        <v>22</v>
      </c>
      <c r="I471" t="s">
        <v>23</v>
      </c>
      <c r="J471" t="s">
        <v>35</v>
      </c>
      <c r="K471" t="s">
        <v>42</v>
      </c>
      <c r="L471" t="s">
        <v>1004</v>
      </c>
      <c r="M471" s="1">
        <v>35796.6</v>
      </c>
      <c r="N471">
        <v>5</v>
      </c>
      <c r="O471" s="2">
        <v>0.2</v>
      </c>
      <c r="P471" s="1">
        <v>2790.58</v>
      </c>
      <c r="Q471" t="s">
        <v>115</v>
      </c>
      <c r="R471" t="s">
        <v>120</v>
      </c>
    </row>
    <row r="472" spans="1:18" x14ac:dyDescent="0.3">
      <c r="A472">
        <v>1471</v>
      </c>
      <c r="B472" s="3">
        <v>45948</v>
      </c>
      <c r="C472" s="3">
        <v>45952</v>
      </c>
      <c r="D472" t="s">
        <v>1005</v>
      </c>
      <c r="E472" t="s">
        <v>728</v>
      </c>
      <c r="F472" t="s">
        <v>31</v>
      </c>
      <c r="G472" t="s">
        <v>118</v>
      </c>
      <c r="H472" t="s">
        <v>118</v>
      </c>
      <c r="I472" t="s">
        <v>34</v>
      </c>
      <c r="J472" t="s">
        <v>35</v>
      </c>
      <c r="K472" t="s">
        <v>129</v>
      </c>
      <c r="L472" t="s">
        <v>1006</v>
      </c>
      <c r="M472" s="1">
        <v>89928.23</v>
      </c>
      <c r="N472">
        <v>5</v>
      </c>
      <c r="O472" s="2">
        <v>0.2</v>
      </c>
      <c r="P472" s="1">
        <v>19529.05</v>
      </c>
      <c r="Q472" t="s">
        <v>61</v>
      </c>
      <c r="R472" t="s">
        <v>120</v>
      </c>
    </row>
    <row r="473" spans="1:18" x14ac:dyDescent="0.3">
      <c r="A473">
        <v>1472</v>
      </c>
      <c r="B473" s="3">
        <v>45757</v>
      </c>
      <c r="C473" s="3">
        <v>45758</v>
      </c>
      <c r="D473" t="s">
        <v>1007</v>
      </c>
      <c r="E473" t="s">
        <v>387</v>
      </c>
      <c r="F473" t="s">
        <v>31</v>
      </c>
      <c r="G473" t="s">
        <v>32</v>
      </c>
      <c r="H473" t="s">
        <v>33</v>
      </c>
      <c r="I473" t="s">
        <v>34</v>
      </c>
      <c r="J473" t="s">
        <v>24</v>
      </c>
      <c r="K473" t="s">
        <v>224</v>
      </c>
      <c r="L473" t="s">
        <v>1008</v>
      </c>
      <c r="M473" s="1">
        <v>63727.97</v>
      </c>
      <c r="N473">
        <v>2</v>
      </c>
      <c r="O473" s="2">
        <v>0.25</v>
      </c>
      <c r="P473" s="1">
        <v>7861.19</v>
      </c>
      <c r="Q473" t="s">
        <v>67</v>
      </c>
      <c r="R473" t="s">
        <v>53</v>
      </c>
    </row>
    <row r="474" spans="1:18" x14ac:dyDescent="0.3">
      <c r="A474">
        <v>1473</v>
      </c>
      <c r="B474" s="3">
        <v>45376</v>
      </c>
      <c r="C474" s="3">
        <v>45378</v>
      </c>
      <c r="D474" t="s">
        <v>651</v>
      </c>
      <c r="E474" t="s">
        <v>427</v>
      </c>
      <c r="F474" t="s">
        <v>20</v>
      </c>
      <c r="G474" t="s">
        <v>85</v>
      </c>
      <c r="H474" t="s">
        <v>86</v>
      </c>
      <c r="I474" t="s">
        <v>49</v>
      </c>
      <c r="J474" t="s">
        <v>35</v>
      </c>
      <c r="K474" t="s">
        <v>42</v>
      </c>
      <c r="L474" t="s">
        <v>1009</v>
      </c>
      <c r="M474" s="1">
        <v>12241.37</v>
      </c>
      <c r="N474">
        <v>5</v>
      </c>
      <c r="O474" s="2">
        <v>0.05</v>
      </c>
      <c r="P474" s="1">
        <v>1351.67</v>
      </c>
      <c r="Q474" t="s">
        <v>115</v>
      </c>
      <c r="R474" t="s">
        <v>28</v>
      </c>
    </row>
    <row r="475" spans="1:18" x14ac:dyDescent="0.3">
      <c r="A475">
        <v>1474</v>
      </c>
      <c r="B475" s="3">
        <v>45306</v>
      </c>
      <c r="C475" s="3">
        <v>45309</v>
      </c>
      <c r="D475" t="s">
        <v>756</v>
      </c>
      <c r="E475" t="s">
        <v>101</v>
      </c>
      <c r="F475" t="s">
        <v>31</v>
      </c>
      <c r="G475" t="s">
        <v>85</v>
      </c>
      <c r="H475" t="s">
        <v>86</v>
      </c>
      <c r="I475" t="s">
        <v>49</v>
      </c>
      <c r="J475" t="s">
        <v>24</v>
      </c>
      <c r="K475" t="s">
        <v>212</v>
      </c>
      <c r="L475" t="s">
        <v>1010</v>
      </c>
      <c r="M475" s="1">
        <v>58562.09</v>
      </c>
      <c r="N475">
        <v>6</v>
      </c>
      <c r="O475" s="2">
        <v>0.1</v>
      </c>
      <c r="P475" s="1">
        <v>10880.5</v>
      </c>
      <c r="Q475" t="s">
        <v>67</v>
      </c>
      <c r="R475" t="s">
        <v>39</v>
      </c>
    </row>
    <row r="476" spans="1:18" x14ac:dyDescent="0.3">
      <c r="A476">
        <v>1475</v>
      </c>
      <c r="B476" s="3">
        <v>45665</v>
      </c>
      <c r="C476" s="3">
        <v>45667</v>
      </c>
      <c r="D476" t="s">
        <v>297</v>
      </c>
      <c r="E476" t="s">
        <v>135</v>
      </c>
      <c r="F476" t="s">
        <v>31</v>
      </c>
      <c r="G476" t="s">
        <v>90</v>
      </c>
      <c r="H476" t="s">
        <v>91</v>
      </c>
      <c r="I476" t="s">
        <v>23</v>
      </c>
      <c r="J476" t="s">
        <v>35</v>
      </c>
      <c r="K476" t="s">
        <v>59</v>
      </c>
      <c r="L476" t="s">
        <v>1011</v>
      </c>
      <c r="M476" s="1">
        <v>34465.65</v>
      </c>
      <c r="N476">
        <v>10</v>
      </c>
      <c r="O476" s="2">
        <v>0.2</v>
      </c>
      <c r="P476" s="1">
        <v>7368.09</v>
      </c>
      <c r="Q476" t="s">
        <v>52</v>
      </c>
      <c r="R476" t="s">
        <v>53</v>
      </c>
    </row>
    <row r="477" spans="1:18" x14ac:dyDescent="0.3">
      <c r="A477">
        <v>1476</v>
      </c>
      <c r="B477" s="3">
        <v>45759</v>
      </c>
      <c r="C477" s="3">
        <v>45761</v>
      </c>
      <c r="D477" t="s">
        <v>751</v>
      </c>
      <c r="E477" t="s">
        <v>740</v>
      </c>
      <c r="F477" t="s">
        <v>46</v>
      </c>
      <c r="G477" t="s">
        <v>32</v>
      </c>
      <c r="H477" t="s">
        <v>33</v>
      </c>
      <c r="I477" t="s">
        <v>34</v>
      </c>
      <c r="J477" t="s">
        <v>35</v>
      </c>
      <c r="K477" t="s">
        <v>42</v>
      </c>
      <c r="L477" t="s">
        <v>1012</v>
      </c>
      <c r="M477" s="1">
        <v>4771.68</v>
      </c>
      <c r="N477">
        <v>9</v>
      </c>
      <c r="O477" s="2">
        <v>0.25</v>
      </c>
      <c r="P477" s="1">
        <v>429.98</v>
      </c>
      <c r="Q477" t="s">
        <v>52</v>
      </c>
      <c r="R477" t="s">
        <v>28</v>
      </c>
    </row>
    <row r="478" spans="1:18" x14ac:dyDescent="0.3">
      <c r="A478">
        <v>1477</v>
      </c>
      <c r="B478" s="3">
        <v>45621</v>
      </c>
      <c r="C478" s="3">
        <v>45625</v>
      </c>
      <c r="D478" t="s">
        <v>262</v>
      </c>
      <c r="E478" t="s">
        <v>76</v>
      </c>
      <c r="F478" t="s">
        <v>20</v>
      </c>
      <c r="G478" t="s">
        <v>21</v>
      </c>
      <c r="H478" t="s">
        <v>22</v>
      </c>
      <c r="I478" t="s">
        <v>23</v>
      </c>
      <c r="J478" t="s">
        <v>64</v>
      </c>
      <c r="K478" t="s">
        <v>65</v>
      </c>
      <c r="L478" t="s">
        <v>1013</v>
      </c>
      <c r="M478" s="1">
        <v>52887.74</v>
      </c>
      <c r="N478">
        <v>9</v>
      </c>
      <c r="O478" s="2">
        <v>0.05</v>
      </c>
      <c r="P478" s="1">
        <v>6166.89</v>
      </c>
      <c r="Q478" t="s">
        <v>82</v>
      </c>
      <c r="R478" t="s">
        <v>28</v>
      </c>
    </row>
    <row r="479" spans="1:18" x14ac:dyDescent="0.3">
      <c r="A479">
        <v>1478</v>
      </c>
      <c r="B479" s="3">
        <v>45879</v>
      </c>
      <c r="C479" s="3">
        <v>45882</v>
      </c>
      <c r="D479" t="s">
        <v>44</v>
      </c>
      <c r="E479" t="s">
        <v>513</v>
      </c>
      <c r="F479" t="s">
        <v>31</v>
      </c>
      <c r="G479" t="s">
        <v>56</v>
      </c>
      <c r="H479" t="s">
        <v>57</v>
      </c>
      <c r="I479" t="s">
        <v>58</v>
      </c>
      <c r="J479" t="s">
        <v>35</v>
      </c>
      <c r="K479" t="s">
        <v>36</v>
      </c>
      <c r="L479" t="s">
        <v>1014</v>
      </c>
      <c r="M479" s="1">
        <v>50407.66</v>
      </c>
      <c r="N479">
        <v>10</v>
      </c>
      <c r="O479" s="2">
        <v>0.05</v>
      </c>
      <c r="P479" s="1">
        <v>6766.63</v>
      </c>
      <c r="Q479" t="s">
        <v>38</v>
      </c>
      <c r="R479" t="s">
        <v>120</v>
      </c>
    </row>
    <row r="480" spans="1:18" x14ac:dyDescent="0.3">
      <c r="A480">
        <v>1479</v>
      </c>
      <c r="B480" s="3">
        <v>45927</v>
      </c>
      <c r="C480" s="3">
        <v>45933</v>
      </c>
      <c r="D480" t="s">
        <v>210</v>
      </c>
      <c r="E480" t="s">
        <v>1015</v>
      </c>
      <c r="F480" t="s">
        <v>31</v>
      </c>
      <c r="G480" t="s">
        <v>85</v>
      </c>
      <c r="H480" t="s">
        <v>86</v>
      </c>
      <c r="I480" t="s">
        <v>49</v>
      </c>
      <c r="J480" t="s">
        <v>35</v>
      </c>
      <c r="K480" t="s">
        <v>42</v>
      </c>
      <c r="L480" t="s">
        <v>1016</v>
      </c>
      <c r="M480" s="1">
        <v>80509.789999999994</v>
      </c>
      <c r="N480">
        <v>7</v>
      </c>
      <c r="O480" s="2">
        <v>0.25</v>
      </c>
      <c r="P480" s="1">
        <v>-1067.22</v>
      </c>
      <c r="Q480" t="s">
        <v>38</v>
      </c>
      <c r="R480" t="s">
        <v>53</v>
      </c>
    </row>
    <row r="481" spans="1:18" x14ac:dyDescent="0.3">
      <c r="A481">
        <v>1480</v>
      </c>
      <c r="B481" s="3">
        <v>45311</v>
      </c>
      <c r="C481" s="3">
        <v>45315</v>
      </c>
      <c r="D481" t="s">
        <v>605</v>
      </c>
      <c r="E481" t="s">
        <v>816</v>
      </c>
      <c r="F481" t="s">
        <v>20</v>
      </c>
      <c r="G481" t="s">
        <v>107</v>
      </c>
      <c r="H481" t="s">
        <v>108</v>
      </c>
      <c r="I481" t="s">
        <v>34</v>
      </c>
      <c r="J481" t="s">
        <v>35</v>
      </c>
      <c r="K481" t="s">
        <v>129</v>
      </c>
      <c r="L481" t="s">
        <v>1017</v>
      </c>
      <c r="M481" s="1">
        <v>49262.79</v>
      </c>
      <c r="N481">
        <v>8</v>
      </c>
      <c r="O481" s="2">
        <v>0.15</v>
      </c>
      <c r="P481" s="1">
        <v>1162.28</v>
      </c>
      <c r="Q481" t="s">
        <v>61</v>
      </c>
      <c r="R481" t="s">
        <v>53</v>
      </c>
    </row>
    <row r="482" spans="1:18" x14ac:dyDescent="0.3">
      <c r="A482">
        <v>1481</v>
      </c>
      <c r="B482" s="3">
        <v>45299</v>
      </c>
      <c r="C482" s="3">
        <v>45300</v>
      </c>
      <c r="D482" t="s">
        <v>818</v>
      </c>
      <c r="E482" t="s">
        <v>600</v>
      </c>
      <c r="F482" t="s">
        <v>31</v>
      </c>
      <c r="G482" t="s">
        <v>56</v>
      </c>
      <c r="H482" t="s">
        <v>57</v>
      </c>
      <c r="I482" t="s">
        <v>58</v>
      </c>
      <c r="J482" t="s">
        <v>24</v>
      </c>
      <c r="K482" t="s">
        <v>224</v>
      </c>
      <c r="L482" t="s">
        <v>1018</v>
      </c>
      <c r="M482" s="1">
        <v>20257.47</v>
      </c>
      <c r="N482">
        <v>9</v>
      </c>
      <c r="O482" s="2">
        <v>0.2</v>
      </c>
      <c r="P482" s="1">
        <v>2315.48</v>
      </c>
      <c r="Q482" t="s">
        <v>82</v>
      </c>
      <c r="R482" t="s">
        <v>120</v>
      </c>
    </row>
    <row r="483" spans="1:18" x14ac:dyDescent="0.3">
      <c r="A483">
        <v>1482</v>
      </c>
      <c r="B483" s="3">
        <v>45778</v>
      </c>
      <c r="C483" s="3">
        <v>45779</v>
      </c>
      <c r="D483" t="s">
        <v>503</v>
      </c>
      <c r="E483" t="s">
        <v>589</v>
      </c>
      <c r="F483" t="s">
        <v>31</v>
      </c>
      <c r="G483" t="s">
        <v>112</v>
      </c>
      <c r="H483" t="s">
        <v>113</v>
      </c>
      <c r="I483" t="s">
        <v>49</v>
      </c>
      <c r="J483" t="s">
        <v>24</v>
      </c>
      <c r="K483" t="s">
        <v>50</v>
      </c>
      <c r="L483" t="s">
        <v>1019</v>
      </c>
      <c r="M483" s="1">
        <v>37584.959999999999</v>
      </c>
      <c r="N483">
        <v>4</v>
      </c>
      <c r="O483" s="2">
        <v>0.3</v>
      </c>
      <c r="P483" s="1">
        <v>1197.77</v>
      </c>
      <c r="Q483" t="s">
        <v>74</v>
      </c>
      <c r="R483" t="s">
        <v>28</v>
      </c>
    </row>
    <row r="484" spans="1:18" x14ac:dyDescent="0.3">
      <c r="A484">
        <v>1483</v>
      </c>
      <c r="B484" s="3">
        <v>45644</v>
      </c>
      <c r="C484" s="3">
        <v>45645</v>
      </c>
      <c r="D484" t="s">
        <v>1020</v>
      </c>
      <c r="E484" t="s">
        <v>30</v>
      </c>
      <c r="F484" t="s">
        <v>31</v>
      </c>
      <c r="G484" t="s">
        <v>56</v>
      </c>
      <c r="H484" t="s">
        <v>57</v>
      </c>
      <c r="I484" t="s">
        <v>58</v>
      </c>
      <c r="J484" t="s">
        <v>24</v>
      </c>
      <c r="K484" t="s">
        <v>50</v>
      </c>
      <c r="L484" t="s">
        <v>1021</v>
      </c>
      <c r="M484" s="1">
        <v>29579.67</v>
      </c>
      <c r="N484">
        <v>2</v>
      </c>
      <c r="O484" s="2">
        <v>0.1</v>
      </c>
      <c r="P484" s="1">
        <v>2158.56</v>
      </c>
      <c r="Q484" t="s">
        <v>82</v>
      </c>
      <c r="R484" t="s">
        <v>120</v>
      </c>
    </row>
    <row r="485" spans="1:18" x14ac:dyDescent="0.3">
      <c r="A485">
        <v>1484</v>
      </c>
      <c r="B485" s="3">
        <v>45507</v>
      </c>
      <c r="C485" s="3">
        <v>45508</v>
      </c>
      <c r="D485" t="s">
        <v>1022</v>
      </c>
      <c r="E485" t="s">
        <v>221</v>
      </c>
      <c r="F485" t="s">
        <v>46</v>
      </c>
      <c r="G485" t="s">
        <v>95</v>
      </c>
      <c r="H485" t="s">
        <v>22</v>
      </c>
      <c r="I485" t="s">
        <v>23</v>
      </c>
      <c r="J485" t="s">
        <v>24</v>
      </c>
      <c r="K485" t="s">
        <v>25</v>
      </c>
      <c r="L485" t="s">
        <v>1023</v>
      </c>
      <c r="M485" s="1">
        <v>71877.64</v>
      </c>
      <c r="N485">
        <v>4</v>
      </c>
      <c r="O485" s="2">
        <v>0.1</v>
      </c>
      <c r="P485" s="1">
        <v>10973.72</v>
      </c>
      <c r="Q485" t="s">
        <v>27</v>
      </c>
      <c r="R485" t="s">
        <v>53</v>
      </c>
    </row>
    <row r="486" spans="1:18" x14ac:dyDescent="0.3">
      <c r="A486">
        <v>1485</v>
      </c>
      <c r="B486" s="3">
        <v>45519</v>
      </c>
      <c r="C486" s="3">
        <v>45520</v>
      </c>
      <c r="D486" t="s">
        <v>286</v>
      </c>
      <c r="E486" t="s">
        <v>235</v>
      </c>
      <c r="F486" t="s">
        <v>46</v>
      </c>
      <c r="G486" t="s">
        <v>112</v>
      </c>
      <c r="H486" t="s">
        <v>113</v>
      </c>
      <c r="I486" t="s">
        <v>49</v>
      </c>
      <c r="J486" t="s">
        <v>35</v>
      </c>
      <c r="K486" t="s">
        <v>42</v>
      </c>
      <c r="L486" t="s">
        <v>1024</v>
      </c>
      <c r="M486" s="1">
        <v>983.64</v>
      </c>
      <c r="N486">
        <v>10</v>
      </c>
      <c r="O486" s="2">
        <v>0.25</v>
      </c>
      <c r="P486" s="1">
        <v>124.57</v>
      </c>
      <c r="Q486" t="s">
        <v>38</v>
      </c>
      <c r="R486" t="s">
        <v>28</v>
      </c>
    </row>
    <row r="487" spans="1:18" x14ac:dyDescent="0.3">
      <c r="A487">
        <v>1486</v>
      </c>
      <c r="B487" s="3">
        <v>45725</v>
      </c>
      <c r="C487" s="3">
        <v>45727</v>
      </c>
      <c r="D487" t="s">
        <v>863</v>
      </c>
      <c r="E487" t="s">
        <v>270</v>
      </c>
      <c r="F487" t="s">
        <v>31</v>
      </c>
      <c r="G487" t="s">
        <v>70</v>
      </c>
      <c r="H487" t="s">
        <v>71</v>
      </c>
      <c r="I487" t="s">
        <v>58</v>
      </c>
      <c r="J487" t="s">
        <v>64</v>
      </c>
      <c r="K487" t="s">
        <v>104</v>
      </c>
      <c r="L487" t="s">
        <v>1025</v>
      </c>
      <c r="M487" s="1">
        <v>37932.089999999997</v>
      </c>
      <c r="N487">
        <v>4</v>
      </c>
      <c r="O487" s="2">
        <v>0</v>
      </c>
      <c r="P487" s="1">
        <v>5523.32</v>
      </c>
      <c r="Q487" t="s">
        <v>52</v>
      </c>
      <c r="R487" t="s">
        <v>53</v>
      </c>
    </row>
    <row r="488" spans="1:18" x14ac:dyDescent="0.3">
      <c r="A488">
        <v>1487</v>
      </c>
      <c r="B488" s="3">
        <v>45415</v>
      </c>
      <c r="C488" s="3">
        <v>45416</v>
      </c>
      <c r="D488" t="s">
        <v>618</v>
      </c>
      <c r="E488" t="s">
        <v>257</v>
      </c>
      <c r="F488" t="s">
        <v>46</v>
      </c>
      <c r="G488" t="s">
        <v>47</v>
      </c>
      <c r="H488" t="s">
        <v>48</v>
      </c>
      <c r="I488" t="s">
        <v>49</v>
      </c>
      <c r="J488" t="s">
        <v>35</v>
      </c>
      <c r="K488" t="s">
        <v>36</v>
      </c>
      <c r="L488" t="s">
        <v>1026</v>
      </c>
      <c r="M488" s="1">
        <v>50811.87</v>
      </c>
      <c r="N488">
        <v>10</v>
      </c>
      <c r="O488" s="2">
        <v>0.2</v>
      </c>
      <c r="P488" s="1">
        <v>7409.7</v>
      </c>
      <c r="Q488" t="s">
        <v>27</v>
      </c>
      <c r="R488" t="s">
        <v>120</v>
      </c>
    </row>
    <row r="489" spans="1:18" x14ac:dyDescent="0.3">
      <c r="A489">
        <v>1488</v>
      </c>
      <c r="B489" s="3">
        <v>45477</v>
      </c>
      <c r="C489" s="3">
        <v>45483</v>
      </c>
      <c r="D489" t="s">
        <v>262</v>
      </c>
      <c r="E489" t="s">
        <v>197</v>
      </c>
      <c r="F489" t="s">
        <v>46</v>
      </c>
      <c r="G489" t="s">
        <v>56</v>
      </c>
      <c r="H489" t="s">
        <v>57</v>
      </c>
      <c r="I489" t="s">
        <v>58</v>
      </c>
      <c r="J489" t="s">
        <v>35</v>
      </c>
      <c r="K489" t="s">
        <v>59</v>
      </c>
      <c r="L489" t="s">
        <v>1027</v>
      </c>
      <c r="M489" s="1">
        <v>20184.02</v>
      </c>
      <c r="N489">
        <v>3</v>
      </c>
      <c r="O489" s="2">
        <v>0.15</v>
      </c>
      <c r="P489" s="1">
        <v>1925.4</v>
      </c>
      <c r="Q489" t="s">
        <v>115</v>
      </c>
      <c r="R489" t="s">
        <v>39</v>
      </c>
    </row>
    <row r="490" spans="1:18" x14ac:dyDescent="0.3">
      <c r="A490">
        <v>1489</v>
      </c>
      <c r="B490" s="3">
        <v>45662</v>
      </c>
      <c r="C490" s="3">
        <v>45668</v>
      </c>
      <c r="D490" t="s">
        <v>1028</v>
      </c>
      <c r="E490" t="s">
        <v>646</v>
      </c>
      <c r="F490" t="s">
        <v>31</v>
      </c>
      <c r="G490" t="s">
        <v>95</v>
      </c>
      <c r="H490" t="s">
        <v>22</v>
      </c>
      <c r="I490" t="s">
        <v>23</v>
      </c>
      <c r="J490" t="s">
        <v>64</v>
      </c>
      <c r="K490" t="s">
        <v>157</v>
      </c>
      <c r="L490" t="s">
        <v>420</v>
      </c>
      <c r="M490" s="1">
        <v>43799.88</v>
      </c>
      <c r="N490">
        <v>4</v>
      </c>
      <c r="O490" s="2">
        <v>0.25</v>
      </c>
      <c r="P490" s="1">
        <v>8542.98</v>
      </c>
      <c r="Q490" t="s">
        <v>27</v>
      </c>
      <c r="R490" t="s">
        <v>39</v>
      </c>
    </row>
    <row r="491" spans="1:18" x14ac:dyDescent="0.3">
      <c r="A491">
        <v>1490</v>
      </c>
      <c r="B491" s="3">
        <v>45817</v>
      </c>
      <c r="C491" s="3">
        <v>45819</v>
      </c>
      <c r="D491" t="s">
        <v>162</v>
      </c>
      <c r="E491" t="s">
        <v>175</v>
      </c>
      <c r="F491" t="s">
        <v>31</v>
      </c>
      <c r="G491" t="s">
        <v>95</v>
      </c>
      <c r="H491" t="s">
        <v>22</v>
      </c>
      <c r="I491" t="s">
        <v>23</v>
      </c>
      <c r="J491" t="s">
        <v>35</v>
      </c>
      <c r="K491" t="s">
        <v>36</v>
      </c>
      <c r="L491" t="s">
        <v>1029</v>
      </c>
      <c r="M491" s="1">
        <v>48991.08</v>
      </c>
      <c r="N491">
        <v>7</v>
      </c>
      <c r="O491" s="2">
        <v>0.05</v>
      </c>
      <c r="P491" s="1">
        <v>3745.5</v>
      </c>
      <c r="Q491" t="s">
        <v>115</v>
      </c>
      <c r="R491" t="s">
        <v>39</v>
      </c>
    </row>
    <row r="492" spans="1:18" x14ac:dyDescent="0.3">
      <c r="A492">
        <v>1491</v>
      </c>
      <c r="B492" s="3">
        <v>45315</v>
      </c>
      <c r="C492" s="3">
        <v>45316</v>
      </c>
      <c r="D492" t="s">
        <v>148</v>
      </c>
      <c r="E492" t="s">
        <v>757</v>
      </c>
      <c r="F492" t="s">
        <v>46</v>
      </c>
      <c r="G492" t="s">
        <v>118</v>
      </c>
      <c r="H492" t="s">
        <v>118</v>
      </c>
      <c r="I492" t="s">
        <v>34</v>
      </c>
      <c r="J492" t="s">
        <v>64</v>
      </c>
      <c r="K492" t="s">
        <v>188</v>
      </c>
      <c r="L492" t="s">
        <v>1030</v>
      </c>
      <c r="M492" s="1">
        <v>74719.199999999997</v>
      </c>
      <c r="N492">
        <v>10</v>
      </c>
      <c r="O492" s="2">
        <v>0.15</v>
      </c>
      <c r="P492" s="1">
        <v>15272.62</v>
      </c>
      <c r="Q492" t="s">
        <v>27</v>
      </c>
      <c r="R492" t="s">
        <v>28</v>
      </c>
    </row>
    <row r="493" spans="1:18" x14ac:dyDescent="0.3">
      <c r="A493">
        <v>1492</v>
      </c>
      <c r="B493" s="3">
        <v>45665</v>
      </c>
      <c r="C493" s="3">
        <v>45667</v>
      </c>
      <c r="D493" t="s">
        <v>231</v>
      </c>
      <c r="E493" t="s">
        <v>1015</v>
      </c>
      <c r="F493" t="s">
        <v>20</v>
      </c>
      <c r="G493" t="s">
        <v>102</v>
      </c>
      <c r="H493" t="s">
        <v>103</v>
      </c>
      <c r="I493" t="s">
        <v>58</v>
      </c>
      <c r="J493" t="s">
        <v>64</v>
      </c>
      <c r="K493" t="s">
        <v>80</v>
      </c>
      <c r="L493" t="s">
        <v>1031</v>
      </c>
      <c r="M493" s="1">
        <v>59108.91</v>
      </c>
      <c r="N493">
        <v>8</v>
      </c>
      <c r="O493" s="2">
        <v>0.2</v>
      </c>
      <c r="P493" s="1">
        <v>579.29</v>
      </c>
      <c r="Q493" t="s">
        <v>52</v>
      </c>
      <c r="R493" t="s">
        <v>39</v>
      </c>
    </row>
    <row r="494" spans="1:18" x14ac:dyDescent="0.3">
      <c r="A494">
        <v>1493</v>
      </c>
      <c r="B494" s="3">
        <v>45659</v>
      </c>
      <c r="C494" s="3">
        <v>45665</v>
      </c>
      <c r="D494" t="s">
        <v>500</v>
      </c>
      <c r="E494" t="s">
        <v>1032</v>
      </c>
      <c r="F494" t="s">
        <v>31</v>
      </c>
      <c r="G494" t="s">
        <v>32</v>
      </c>
      <c r="H494" t="s">
        <v>33</v>
      </c>
      <c r="I494" t="s">
        <v>34</v>
      </c>
      <c r="J494" t="s">
        <v>35</v>
      </c>
      <c r="K494" t="s">
        <v>59</v>
      </c>
      <c r="L494" t="s">
        <v>1033</v>
      </c>
      <c r="M494" s="1">
        <v>12578.73</v>
      </c>
      <c r="N494">
        <v>3</v>
      </c>
      <c r="O494" s="2">
        <v>0.3</v>
      </c>
      <c r="P494" s="1">
        <v>-111.86</v>
      </c>
      <c r="Q494" t="s">
        <v>115</v>
      </c>
      <c r="R494" t="s">
        <v>120</v>
      </c>
    </row>
    <row r="495" spans="1:18" x14ac:dyDescent="0.3">
      <c r="A495">
        <v>1494</v>
      </c>
      <c r="B495" s="3">
        <v>45884</v>
      </c>
      <c r="C495" s="3">
        <v>45887</v>
      </c>
      <c r="D495" t="s">
        <v>643</v>
      </c>
      <c r="E495" t="s">
        <v>1034</v>
      </c>
      <c r="F495" t="s">
        <v>31</v>
      </c>
      <c r="G495" t="s">
        <v>102</v>
      </c>
      <c r="H495" t="s">
        <v>103</v>
      </c>
      <c r="I495" t="s">
        <v>58</v>
      </c>
      <c r="J495" t="s">
        <v>64</v>
      </c>
      <c r="K495" t="s">
        <v>157</v>
      </c>
      <c r="L495" t="s">
        <v>1035</v>
      </c>
      <c r="M495" s="1">
        <v>38113.4</v>
      </c>
      <c r="N495">
        <v>1</v>
      </c>
      <c r="O495" s="2">
        <v>0.1</v>
      </c>
      <c r="P495" s="1">
        <v>5313.48</v>
      </c>
      <c r="Q495" t="s">
        <v>52</v>
      </c>
      <c r="R495" t="s">
        <v>53</v>
      </c>
    </row>
    <row r="496" spans="1:18" x14ac:dyDescent="0.3">
      <c r="A496">
        <v>1495</v>
      </c>
      <c r="B496" s="3">
        <v>45419</v>
      </c>
      <c r="C496" s="3">
        <v>45420</v>
      </c>
      <c r="D496" t="s">
        <v>414</v>
      </c>
      <c r="E496" t="s">
        <v>1036</v>
      </c>
      <c r="F496" t="s">
        <v>31</v>
      </c>
      <c r="G496" t="s">
        <v>21</v>
      </c>
      <c r="H496" t="s">
        <v>22</v>
      </c>
      <c r="I496" t="s">
        <v>23</v>
      </c>
      <c r="J496" t="s">
        <v>35</v>
      </c>
      <c r="K496" t="s">
        <v>42</v>
      </c>
      <c r="L496" t="s">
        <v>1037</v>
      </c>
      <c r="M496" s="1">
        <v>69661.009999999995</v>
      </c>
      <c r="N496">
        <v>3</v>
      </c>
      <c r="O496" s="2">
        <v>0.1</v>
      </c>
      <c r="P496" s="1">
        <v>7292.43</v>
      </c>
      <c r="Q496" t="s">
        <v>115</v>
      </c>
      <c r="R496" t="s">
        <v>53</v>
      </c>
    </row>
    <row r="497" spans="1:18" x14ac:dyDescent="0.3">
      <c r="A497">
        <v>1496</v>
      </c>
      <c r="B497" s="3">
        <v>45564</v>
      </c>
      <c r="C497" s="3">
        <v>45568</v>
      </c>
      <c r="D497" t="s">
        <v>240</v>
      </c>
      <c r="E497" t="s">
        <v>447</v>
      </c>
      <c r="F497" t="s">
        <v>46</v>
      </c>
      <c r="G497" t="s">
        <v>56</v>
      </c>
      <c r="H497" t="s">
        <v>57</v>
      </c>
      <c r="I497" t="s">
        <v>58</v>
      </c>
      <c r="J497" t="s">
        <v>24</v>
      </c>
      <c r="K497" t="s">
        <v>50</v>
      </c>
      <c r="L497" t="s">
        <v>1038</v>
      </c>
      <c r="M497" s="1">
        <v>24831.98</v>
      </c>
      <c r="N497">
        <v>4</v>
      </c>
      <c r="O497" s="2">
        <v>0.3</v>
      </c>
      <c r="P497" s="1">
        <v>585.89</v>
      </c>
      <c r="Q497" t="s">
        <v>38</v>
      </c>
      <c r="R497" t="s">
        <v>120</v>
      </c>
    </row>
    <row r="498" spans="1:18" x14ac:dyDescent="0.3">
      <c r="A498">
        <v>1497</v>
      </c>
      <c r="B498" s="3">
        <v>45658</v>
      </c>
      <c r="C498" s="3">
        <v>45664</v>
      </c>
      <c r="D498" t="s">
        <v>159</v>
      </c>
      <c r="E498" t="s">
        <v>55</v>
      </c>
      <c r="F498" t="s">
        <v>31</v>
      </c>
      <c r="G498" t="s">
        <v>56</v>
      </c>
      <c r="H498" t="s">
        <v>57</v>
      </c>
      <c r="I498" t="s">
        <v>58</v>
      </c>
      <c r="J498" t="s">
        <v>64</v>
      </c>
      <c r="K498" t="s">
        <v>65</v>
      </c>
      <c r="L498" t="s">
        <v>1039</v>
      </c>
      <c r="M498" s="1">
        <v>65143.68</v>
      </c>
      <c r="N498">
        <v>3</v>
      </c>
      <c r="O498" s="2">
        <v>0.2</v>
      </c>
      <c r="P498" s="1">
        <v>6612.47</v>
      </c>
      <c r="Q498" t="s">
        <v>27</v>
      </c>
      <c r="R498" t="s">
        <v>120</v>
      </c>
    </row>
    <row r="499" spans="1:18" x14ac:dyDescent="0.3">
      <c r="A499">
        <v>1498</v>
      </c>
      <c r="B499" s="3">
        <v>45425</v>
      </c>
      <c r="C499" s="3">
        <v>45429</v>
      </c>
      <c r="D499" t="s">
        <v>170</v>
      </c>
      <c r="E499" t="s">
        <v>459</v>
      </c>
      <c r="F499" t="s">
        <v>31</v>
      </c>
      <c r="G499" t="s">
        <v>32</v>
      </c>
      <c r="H499" t="s">
        <v>33</v>
      </c>
      <c r="I499" t="s">
        <v>34</v>
      </c>
      <c r="J499" t="s">
        <v>24</v>
      </c>
      <c r="K499" t="s">
        <v>224</v>
      </c>
      <c r="L499" t="s">
        <v>1040</v>
      </c>
      <c r="M499" s="1">
        <v>56108.98</v>
      </c>
      <c r="N499">
        <v>5</v>
      </c>
      <c r="O499" s="2">
        <v>0</v>
      </c>
      <c r="P499" s="1">
        <v>13872.08</v>
      </c>
      <c r="Q499" t="s">
        <v>115</v>
      </c>
      <c r="R499" t="s">
        <v>28</v>
      </c>
    </row>
    <row r="500" spans="1:18" x14ac:dyDescent="0.3">
      <c r="A500">
        <v>1499</v>
      </c>
      <c r="B500" s="3">
        <v>45337</v>
      </c>
      <c r="C500" s="3">
        <v>45340</v>
      </c>
      <c r="D500" t="s">
        <v>545</v>
      </c>
      <c r="E500" t="s">
        <v>1041</v>
      </c>
      <c r="F500" t="s">
        <v>46</v>
      </c>
      <c r="G500" t="s">
        <v>32</v>
      </c>
      <c r="H500" t="s">
        <v>33</v>
      </c>
      <c r="I500" t="s">
        <v>34</v>
      </c>
      <c r="J500" t="s">
        <v>64</v>
      </c>
      <c r="K500" t="s">
        <v>104</v>
      </c>
      <c r="L500" t="s">
        <v>1042</v>
      </c>
      <c r="M500" s="1">
        <v>30196.240000000002</v>
      </c>
      <c r="N500">
        <v>6</v>
      </c>
      <c r="O500" s="2">
        <v>0.15</v>
      </c>
      <c r="P500" s="1">
        <v>611.98</v>
      </c>
      <c r="Q500" t="s">
        <v>67</v>
      </c>
      <c r="R500" t="s">
        <v>39</v>
      </c>
    </row>
    <row r="501" spans="1:18" x14ac:dyDescent="0.3">
      <c r="A501">
        <v>1500</v>
      </c>
      <c r="B501" s="3">
        <v>45916</v>
      </c>
      <c r="C501" s="3">
        <v>45920</v>
      </c>
      <c r="D501" t="s">
        <v>1043</v>
      </c>
      <c r="E501" t="s">
        <v>607</v>
      </c>
      <c r="F501" t="s">
        <v>31</v>
      </c>
      <c r="G501" t="s">
        <v>112</v>
      </c>
      <c r="H501" t="s">
        <v>113</v>
      </c>
      <c r="I501" t="s">
        <v>49</v>
      </c>
      <c r="J501" t="s">
        <v>64</v>
      </c>
      <c r="K501" t="s">
        <v>157</v>
      </c>
      <c r="L501" t="s">
        <v>1044</v>
      </c>
      <c r="M501" s="1">
        <v>70346.61</v>
      </c>
      <c r="N501">
        <v>3</v>
      </c>
      <c r="O501" s="2">
        <v>0.3</v>
      </c>
      <c r="P501" s="1">
        <v>475.57</v>
      </c>
      <c r="Q501" t="s">
        <v>52</v>
      </c>
      <c r="R501" t="s">
        <v>39</v>
      </c>
    </row>
    <row r="502" spans="1:18" x14ac:dyDescent="0.3">
      <c r="A502">
        <v>1501</v>
      </c>
      <c r="B502" s="3">
        <v>46003</v>
      </c>
      <c r="C502" s="3">
        <v>46004</v>
      </c>
      <c r="D502" t="s">
        <v>377</v>
      </c>
      <c r="E502" t="s">
        <v>111</v>
      </c>
      <c r="F502" t="s">
        <v>20</v>
      </c>
      <c r="G502" t="s">
        <v>118</v>
      </c>
      <c r="H502" t="s">
        <v>118</v>
      </c>
      <c r="I502" t="s">
        <v>34</v>
      </c>
      <c r="J502" t="s">
        <v>64</v>
      </c>
      <c r="K502" t="s">
        <v>104</v>
      </c>
      <c r="L502" t="s">
        <v>1045</v>
      </c>
      <c r="M502" s="1">
        <v>6352.88</v>
      </c>
      <c r="N502">
        <v>2</v>
      </c>
      <c r="O502" s="2">
        <v>0.3</v>
      </c>
      <c r="P502" s="1">
        <v>888.6</v>
      </c>
      <c r="Q502" t="s">
        <v>27</v>
      </c>
      <c r="R502" t="s">
        <v>28</v>
      </c>
    </row>
    <row r="503" spans="1:18" x14ac:dyDescent="0.3">
      <c r="A503">
        <v>1502</v>
      </c>
      <c r="B503" s="3">
        <v>45781</v>
      </c>
      <c r="C503" s="3">
        <v>45786</v>
      </c>
      <c r="D503" t="s">
        <v>578</v>
      </c>
      <c r="E503" t="s">
        <v>639</v>
      </c>
      <c r="F503" t="s">
        <v>20</v>
      </c>
      <c r="G503" t="s">
        <v>47</v>
      </c>
      <c r="H503" t="s">
        <v>48</v>
      </c>
      <c r="I503" t="s">
        <v>49</v>
      </c>
      <c r="J503" t="s">
        <v>35</v>
      </c>
      <c r="K503" t="s">
        <v>42</v>
      </c>
      <c r="L503" t="s">
        <v>1046</v>
      </c>
      <c r="M503" s="1">
        <v>89343.69</v>
      </c>
      <c r="N503">
        <v>2</v>
      </c>
      <c r="O503" s="2">
        <v>0.3</v>
      </c>
      <c r="P503" s="1">
        <v>12754.79</v>
      </c>
      <c r="Q503" t="s">
        <v>74</v>
      </c>
      <c r="R503" t="s">
        <v>53</v>
      </c>
    </row>
    <row r="504" spans="1:18" x14ac:dyDescent="0.3">
      <c r="A504">
        <v>1503</v>
      </c>
      <c r="B504" s="3">
        <v>45932</v>
      </c>
      <c r="C504" s="3">
        <v>45938</v>
      </c>
      <c r="D504" t="s">
        <v>475</v>
      </c>
      <c r="E504" t="s">
        <v>1047</v>
      </c>
      <c r="F504" t="s">
        <v>20</v>
      </c>
      <c r="G504" t="s">
        <v>118</v>
      </c>
      <c r="H504" t="s">
        <v>118</v>
      </c>
      <c r="I504" t="s">
        <v>34</v>
      </c>
      <c r="J504" t="s">
        <v>64</v>
      </c>
      <c r="K504" t="s">
        <v>65</v>
      </c>
      <c r="L504" t="s">
        <v>1048</v>
      </c>
      <c r="M504" s="1">
        <v>36506.120000000003</v>
      </c>
      <c r="N504">
        <v>9</v>
      </c>
      <c r="O504" s="2">
        <v>0</v>
      </c>
      <c r="P504" s="1">
        <v>5266.88</v>
      </c>
      <c r="Q504" t="s">
        <v>52</v>
      </c>
      <c r="R504" t="s">
        <v>39</v>
      </c>
    </row>
    <row r="505" spans="1:18" x14ac:dyDescent="0.3">
      <c r="A505">
        <v>1504</v>
      </c>
      <c r="B505" s="3">
        <v>45745</v>
      </c>
      <c r="C505" s="3">
        <v>45749</v>
      </c>
      <c r="D505" t="s">
        <v>1049</v>
      </c>
      <c r="E505" t="s">
        <v>160</v>
      </c>
      <c r="F505" t="s">
        <v>46</v>
      </c>
      <c r="G505" t="s">
        <v>90</v>
      </c>
      <c r="H505" t="s">
        <v>91</v>
      </c>
      <c r="I505" t="s">
        <v>23</v>
      </c>
      <c r="J505" t="s">
        <v>24</v>
      </c>
      <c r="K505" t="s">
        <v>224</v>
      </c>
      <c r="L505" t="s">
        <v>1050</v>
      </c>
      <c r="M505" s="1">
        <v>55692.62</v>
      </c>
      <c r="N505">
        <v>4</v>
      </c>
      <c r="O505" s="2">
        <v>0.1</v>
      </c>
      <c r="P505" s="1">
        <v>8518.2099999999991</v>
      </c>
      <c r="Q505" t="s">
        <v>38</v>
      </c>
      <c r="R505" t="s">
        <v>28</v>
      </c>
    </row>
    <row r="506" spans="1:18" x14ac:dyDescent="0.3">
      <c r="A506">
        <v>1505</v>
      </c>
      <c r="B506" s="3">
        <v>45549</v>
      </c>
      <c r="C506" s="3">
        <v>45554</v>
      </c>
      <c r="D506" t="s">
        <v>396</v>
      </c>
      <c r="E506" t="s">
        <v>536</v>
      </c>
      <c r="F506" t="s">
        <v>46</v>
      </c>
      <c r="G506" t="s">
        <v>112</v>
      </c>
      <c r="H506" t="s">
        <v>113</v>
      </c>
      <c r="I506" t="s">
        <v>49</v>
      </c>
      <c r="J506" t="s">
        <v>35</v>
      </c>
      <c r="K506" t="s">
        <v>59</v>
      </c>
      <c r="L506" t="s">
        <v>1051</v>
      </c>
      <c r="M506" s="1">
        <v>62827.32</v>
      </c>
      <c r="N506">
        <v>10</v>
      </c>
      <c r="O506" s="2">
        <v>0.15</v>
      </c>
      <c r="P506" s="1">
        <v>4795.8599999999997</v>
      </c>
      <c r="Q506" t="s">
        <v>115</v>
      </c>
      <c r="R506" t="s">
        <v>28</v>
      </c>
    </row>
    <row r="507" spans="1:18" x14ac:dyDescent="0.3">
      <c r="A507">
        <v>1506</v>
      </c>
      <c r="B507" s="3">
        <v>45425</v>
      </c>
      <c r="C507" s="3">
        <v>45426</v>
      </c>
      <c r="D507" t="s">
        <v>97</v>
      </c>
      <c r="E507" t="s">
        <v>117</v>
      </c>
      <c r="F507" t="s">
        <v>46</v>
      </c>
      <c r="G507" t="s">
        <v>47</v>
      </c>
      <c r="H507" t="s">
        <v>48</v>
      </c>
      <c r="I507" t="s">
        <v>49</v>
      </c>
      <c r="J507" t="s">
        <v>24</v>
      </c>
      <c r="K507" t="s">
        <v>212</v>
      </c>
      <c r="L507" t="s">
        <v>1052</v>
      </c>
      <c r="M507" s="1">
        <v>7385.45</v>
      </c>
      <c r="N507">
        <v>3</v>
      </c>
      <c r="O507" s="2">
        <v>0.3</v>
      </c>
      <c r="P507" s="1">
        <v>253.57</v>
      </c>
      <c r="Q507" t="s">
        <v>115</v>
      </c>
      <c r="R507" t="s">
        <v>39</v>
      </c>
    </row>
    <row r="508" spans="1:18" x14ac:dyDescent="0.3">
      <c r="A508">
        <v>1507</v>
      </c>
      <c r="B508" s="3">
        <v>45322</v>
      </c>
      <c r="C508" s="3">
        <v>45327</v>
      </c>
      <c r="D508" t="s">
        <v>860</v>
      </c>
      <c r="E508" t="s">
        <v>1053</v>
      </c>
      <c r="F508" t="s">
        <v>46</v>
      </c>
      <c r="G508" t="s">
        <v>56</v>
      </c>
      <c r="H508" t="s">
        <v>57</v>
      </c>
      <c r="I508" t="s">
        <v>58</v>
      </c>
      <c r="J508" t="s">
        <v>24</v>
      </c>
      <c r="K508" t="s">
        <v>72</v>
      </c>
      <c r="L508" t="s">
        <v>1054</v>
      </c>
      <c r="M508" s="1">
        <v>72450.52</v>
      </c>
      <c r="N508">
        <v>8</v>
      </c>
      <c r="O508" s="2">
        <v>0.1</v>
      </c>
      <c r="P508" s="1">
        <v>9351.84</v>
      </c>
      <c r="Q508" t="s">
        <v>67</v>
      </c>
      <c r="R508" t="s">
        <v>39</v>
      </c>
    </row>
    <row r="509" spans="1:18" x14ac:dyDescent="0.3">
      <c r="A509">
        <v>1508</v>
      </c>
      <c r="B509" s="3">
        <v>45990</v>
      </c>
      <c r="C509" s="3">
        <v>45996</v>
      </c>
      <c r="D509" t="s">
        <v>512</v>
      </c>
      <c r="E509" t="s">
        <v>1055</v>
      </c>
      <c r="F509" t="s">
        <v>31</v>
      </c>
      <c r="G509" t="s">
        <v>56</v>
      </c>
      <c r="H509" t="s">
        <v>57</v>
      </c>
      <c r="I509" t="s">
        <v>58</v>
      </c>
      <c r="J509" t="s">
        <v>35</v>
      </c>
      <c r="K509" t="s">
        <v>59</v>
      </c>
      <c r="L509" t="s">
        <v>1056</v>
      </c>
      <c r="M509" s="1">
        <v>87861.93</v>
      </c>
      <c r="N509">
        <v>5</v>
      </c>
      <c r="O509" s="2">
        <v>0.05</v>
      </c>
      <c r="P509" s="1">
        <v>8754.83</v>
      </c>
      <c r="Q509" t="s">
        <v>74</v>
      </c>
      <c r="R509" t="s">
        <v>120</v>
      </c>
    </row>
    <row r="510" spans="1:18" x14ac:dyDescent="0.3">
      <c r="A510">
        <v>1509</v>
      </c>
      <c r="B510" s="3">
        <v>45909</v>
      </c>
      <c r="C510" s="3">
        <v>45913</v>
      </c>
      <c r="D510" t="s">
        <v>1057</v>
      </c>
      <c r="E510" t="s">
        <v>331</v>
      </c>
      <c r="F510" t="s">
        <v>31</v>
      </c>
      <c r="G510" t="s">
        <v>85</v>
      </c>
      <c r="H510" t="s">
        <v>86</v>
      </c>
      <c r="I510" t="s">
        <v>49</v>
      </c>
      <c r="J510" t="s">
        <v>35</v>
      </c>
      <c r="K510" t="s">
        <v>59</v>
      </c>
      <c r="L510" t="s">
        <v>1058</v>
      </c>
      <c r="M510" s="1">
        <v>33162.75</v>
      </c>
      <c r="N510">
        <v>10</v>
      </c>
      <c r="O510" s="2">
        <v>0.1</v>
      </c>
      <c r="P510" s="1">
        <v>4588.74</v>
      </c>
      <c r="Q510" t="s">
        <v>27</v>
      </c>
      <c r="R510" t="s">
        <v>120</v>
      </c>
    </row>
    <row r="511" spans="1:18" x14ac:dyDescent="0.3">
      <c r="A511">
        <v>1510</v>
      </c>
      <c r="B511" s="3">
        <v>45353</v>
      </c>
      <c r="C511" s="3">
        <v>45357</v>
      </c>
      <c r="D511" t="s">
        <v>1059</v>
      </c>
      <c r="E511" t="s">
        <v>89</v>
      </c>
      <c r="F511" t="s">
        <v>20</v>
      </c>
      <c r="G511" t="s">
        <v>21</v>
      </c>
      <c r="H511" t="s">
        <v>22</v>
      </c>
      <c r="I511" t="s">
        <v>23</v>
      </c>
      <c r="J511" t="s">
        <v>24</v>
      </c>
      <c r="K511" t="s">
        <v>72</v>
      </c>
      <c r="L511" t="s">
        <v>1054</v>
      </c>
      <c r="M511" s="1">
        <v>49857.97</v>
      </c>
      <c r="N511">
        <v>6</v>
      </c>
      <c r="O511" s="2">
        <v>0.1</v>
      </c>
      <c r="P511" s="1">
        <v>4600.7</v>
      </c>
      <c r="Q511" t="s">
        <v>74</v>
      </c>
      <c r="R511" t="s">
        <v>39</v>
      </c>
    </row>
    <row r="512" spans="1:18" x14ac:dyDescent="0.3">
      <c r="A512">
        <v>1511</v>
      </c>
      <c r="B512" s="3">
        <v>45442</v>
      </c>
      <c r="C512" s="3">
        <v>45448</v>
      </c>
      <c r="D512" t="s">
        <v>1022</v>
      </c>
      <c r="E512" t="s">
        <v>675</v>
      </c>
      <c r="F512" t="s">
        <v>31</v>
      </c>
      <c r="G512" t="s">
        <v>56</v>
      </c>
      <c r="H512" t="s">
        <v>57</v>
      </c>
      <c r="I512" t="s">
        <v>58</v>
      </c>
      <c r="J512" t="s">
        <v>64</v>
      </c>
      <c r="K512" t="s">
        <v>157</v>
      </c>
      <c r="L512" t="s">
        <v>1060</v>
      </c>
      <c r="M512" s="1">
        <v>55621.34</v>
      </c>
      <c r="N512">
        <v>2</v>
      </c>
      <c r="O512" s="2">
        <v>0.15</v>
      </c>
      <c r="P512" s="1">
        <v>3223.49</v>
      </c>
      <c r="Q512" t="s">
        <v>115</v>
      </c>
      <c r="R512" t="s">
        <v>53</v>
      </c>
    </row>
    <row r="513" spans="1:18" x14ac:dyDescent="0.3">
      <c r="A513">
        <v>1512</v>
      </c>
      <c r="B513" s="3">
        <v>45434</v>
      </c>
      <c r="C513" s="3">
        <v>45440</v>
      </c>
      <c r="D513" t="s">
        <v>1061</v>
      </c>
      <c r="E513" t="s">
        <v>178</v>
      </c>
      <c r="F513" t="s">
        <v>46</v>
      </c>
      <c r="G513" t="s">
        <v>56</v>
      </c>
      <c r="H513" t="s">
        <v>57</v>
      </c>
      <c r="I513" t="s">
        <v>58</v>
      </c>
      <c r="J513" t="s">
        <v>64</v>
      </c>
      <c r="K513" t="s">
        <v>157</v>
      </c>
      <c r="L513" t="s">
        <v>1062</v>
      </c>
      <c r="M513" s="1">
        <v>33439.67</v>
      </c>
      <c r="N513">
        <v>8</v>
      </c>
      <c r="O513" s="2">
        <v>0.05</v>
      </c>
      <c r="P513" s="1">
        <v>3458.35</v>
      </c>
      <c r="Q513" t="s">
        <v>27</v>
      </c>
      <c r="R513" t="s">
        <v>120</v>
      </c>
    </row>
    <row r="514" spans="1:18" x14ac:dyDescent="0.3">
      <c r="A514">
        <v>1513</v>
      </c>
      <c r="B514" s="3">
        <v>45434</v>
      </c>
      <c r="C514" s="3">
        <v>45437</v>
      </c>
      <c r="D514" t="s">
        <v>148</v>
      </c>
      <c r="E514" t="s">
        <v>489</v>
      </c>
      <c r="F514" t="s">
        <v>20</v>
      </c>
      <c r="G514" t="s">
        <v>107</v>
      </c>
      <c r="H514" t="s">
        <v>108</v>
      </c>
      <c r="I514" t="s">
        <v>34</v>
      </c>
      <c r="J514" t="s">
        <v>64</v>
      </c>
      <c r="K514" t="s">
        <v>157</v>
      </c>
      <c r="L514" t="s">
        <v>1063</v>
      </c>
      <c r="M514" s="1">
        <v>44150.31</v>
      </c>
      <c r="N514">
        <v>1</v>
      </c>
      <c r="O514" s="2">
        <v>0.1</v>
      </c>
      <c r="P514" s="1">
        <v>2869.88</v>
      </c>
      <c r="Q514" t="s">
        <v>67</v>
      </c>
      <c r="R514" t="s">
        <v>39</v>
      </c>
    </row>
    <row r="515" spans="1:18" x14ac:dyDescent="0.3">
      <c r="A515">
        <v>1514</v>
      </c>
      <c r="B515" s="3">
        <v>45690</v>
      </c>
      <c r="C515" s="3">
        <v>45695</v>
      </c>
      <c r="D515" t="s">
        <v>772</v>
      </c>
      <c r="E515" t="s">
        <v>221</v>
      </c>
      <c r="F515" t="s">
        <v>31</v>
      </c>
      <c r="G515" t="s">
        <v>47</v>
      </c>
      <c r="H515" t="s">
        <v>48</v>
      </c>
      <c r="I515" t="s">
        <v>49</v>
      </c>
      <c r="J515" t="s">
        <v>24</v>
      </c>
      <c r="K515" t="s">
        <v>72</v>
      </c>
      <c r="L515" t="s">
        <v>1064</v>
      </c>
      <c r="M515" s="1">
        <v>69480.06</v>
      </c>
      <c r="N515">
        <v>8</v>
      </c>
      <c r="O515" s="2">
        <v>0.3</v>
      </c>
      <c r="P515" s="1">
        <v>416.19</v>
      </c>
      <c r="Q515" t="s">
        <v>61</v>
      </c>
      <c r="R515" t="s">
        <v>28</v>
      </c>
    </row>
    <row r="516" spans="1:18" x14ac:dyDescent="0.3">
      <c r="A516">
        <v>1515</v>
      </c>
      <c r="B516" s="3">
        <v>45530</v>
      </c>
      <c r="C516" s="3">
        <v>45532</v>
      </c>
      <c r="D516" t="s">
        <v>1065</v>
      </c>
      <c r="E516" t="s">
        <v>312</v>
      </c>
      <c r="F516" t="s">
        <v>31</v>
      </c>
      <c r="G516" t="s">
        <v>85</v>
      </c>
      <c r="H516" t="s">
        <v>86</v>
      </c>
      <c r="I516" t="s">
        <v>49</v>
      </c>
      <c r="J516" t="s">
        <v>24</v>
      </c>
      <c r="K516" t="s">
        <v>224</v>
      </c>
      <c r="L516" t="s">
        <v>1066</v>
      </c>
      <c r="M516" s="1">
        <v>53227.59</v>
      </c>
      <c r="N516">
        <v>10</v>
      </c>
      <c r="O516" s="2">
        <v>0.15</v>
      </c>
      <c r="P516" s="1">
        <v>5325.59</v>
      </c>
      <c r="Q516" t="s">
        <v>82</v>
      </c>
      <c r="R516" t="s">
        <v>28</v>
      </c>
    </row>
    <row r="517" spans="1:18" x14ac:dyDescent="0.3">
      <c r="A517">
        <v>1516</v>
      </c>
      <c r="B517" s="3">
        <v>45780</v>
      </c>
      <c r="C517" s="3">
        <v>45781</v>
      </c>
      <c r="D517" t="s">
        <v>708</v>
      </c>
      <c r="E517" t="s">
        <v>930</v>
      </c>
      <c r="F517" t="s">
        <v>31</v>
      </c>
      <c r="G517" t="s">
        <v>118</v>
      </c>
      <c r="H517" t="s">
        <v>118</v>
      </c>
      <c r="I517" t="s">
        <v>34</v>
      </c>
      <c r="J517" t="s">
        <v>64</v>
      </c>
      <c r="K517" t="s">
        <v>157</v>
      </c>
      <c r="L517" t="s">
        <v>1067</v>
      </c>
      <c r="M517" s="1">
        <v>40665.550000000003</v>
      </c>
      <c r="N517">
        <v>5</v>
      </c>
      <c r="O517" s="2">
        <v>0.05</v>
      </c>
      <c r="P517" s="1">
        <v>4972.72</v>
      </c>
      <c r="Q517" t="s">
        <v>82</v>
      </c>
      <c r="R517" t="s">
        <v>53</v>
      </c>
    </row>
    <row r="518" spans="1:18" x14ac:dyDescent="0.3">
      <c r="A518">
        <v>1517</v>
      </c>
      <c r="B518" s="3">
        <v>45913</v>
      </c>
      <c r="C518" s="3">
        <v>45916</v>
      </c>
      <c r="D518" t="s">
        <v>561</v>
      </c>
      <c r="E518" t="s">
        <v>728</v>
      </c>
      <c r="F518" t="s">
        <v>20</v>
      </c>
      <c r="G518" t="s">
        <v>56</v>
      </c>
      <c r="H518" t="s">
        <v>57</v>
      </c>
      <c r="I518" t="s">
        <v>58</v>
      </c>
      <c r="J518" t="s">
        <v>64</v>
      </c>
      <c r="K518" t="s">
        <v>188</v>
      </c>
      <c r="L518" t="s">
        <v>1068</v>
      </c>
      <c r="M518" s="1">
        <v>23784.62</v>
      </c>
      <c r="N518">
        <v>7</v>
      </c>
      <c r="O518" s="2">
        <v>0</v>
      </c>
      <c r="P518" s="1">
        <v>5509.41</v>
      </c>
      <c r="Q518" t="s">
        <v>52</v>
      </c>
      <c r="R518" t="s">
        <v>120</v>
      </c>
    </row>
    <row r="519" spans="1:18" x14ac:dyDescent="0.3">
      <c r="A519">
        <v>1518</v>
      </c>
      <c r="B519" s="3">
        <v>45729</v>
      </c>
      <c r="C519" s="3">
        <v>45734</v>
      </c>
      <c r="D519" t="s">
        <v>1069</v>
      </c>
      <c r="E519" t="s">
        <v>649</v>
      </c>
      <c r="F519" t="s">
        <v>31</v>
      </c>
      <c r="G519" t="s">
        <v>56</v>
      </c>
      <c r="H519" t="s">
        <v>57</v>
      </c>
      <c r="I519" t="s">
        <v>58</v>
      </c>
      <c r="J519" t="s">
        <v>64</v>
      </c>
      <c r="K519" t="s">
        <v>80</v>
      </c>
      <c r="L519" t="s">
        <v>1070</v>
      </c>
      <c r="M519" s="1">
        <v>12171.41</v>
      </c>
      <c r="N519">
        <v>7</v>
      </c>
      <c r="O519" s="2">
        <v>0.15</v>
      </c>
      <c r="P519" s="1">
        <v>1859.2</v>
      </c>
      <c r="Q519" t="s">
        <v>61</v>
      </c>
      <c r="R519" t="s">
        <v>28</v>
      </c>
    </row>
    <row r="520" spans="1:18" x14ac:dyDescent="0.3">
      <c r="A520">
        <v>1519</v>
      </c>
      <c r="B520" s="3">
        <v>45619</v>
      </c>
      <c r="C520" s="3">
        <v>45624</v>
      </c>
      <c r="D520" t="s">
        <v>568</v>
      </c>
      <c r="E520" t="s">
        <v>508</v>
      </c>
      <c r="F520" t="s">
        <v>20</v>
      </c>
      <c r="G520" t="s">
        <v>85</v>
      </c>
      <c r="H520" t="s">
        <v>86</v>
      </c>
      <c r="I520" t="s">
        <v>49</v>
      </c>
      <c r="J520" t="s">
        <v>24</v>
      </c>
      <c r="K520" t="s">
        <v>72</v>
      </c>
      <c r="L520" t="s">
        <v>1071</v>
      </c>
      <c r="M520" s="1">
        <v>33689.71</v>
      </c>
      <c r="N520">
        <v>5</v>
      </c>
      <c r="O520" s="2">
        <v>0</v>
      </c>
      <c r="P520" s="1">
        <v>3846.97</v>
      </c>
      <c r="Q520" t="s">
        <v>74</v>
      </c>
      <c r="R520" t="s">
        <v>28</v>
      </c>
    </row>
    <row r="521" spans="1:18" x14ac:dyDescent="0.3">
      <c r="A521">
        <v>1520</v>
      </c>
      <c r="B521" s="3">
        <v>45707</v>
      </c>
      <c r="C521" s="3">
        <v>45712</v>
      </c>
      <c r="D521" t="s">
        <v>578</v>
      </c>
      <c r="E521" t="s">
        <v>1072</v>
      </c>
      <c r="F521" t="s">
        <v>46</v>
      </c>
      <c r="G521" t="s">
        <v>102</v>
      </c>
      <c r="H521" t="s">
        <v>103</v>
      </c>
      <c r="I521" t="s">
        <v>58</v>
      </c>
      <c r="J521" t="s">
        <v>24</v>
      </c>
      <c r="K521" t="s">
        <v>224</v>
      </c>
      <c r="L521" t="s">
        <v>1073</v>
      </c>
      <c r="M521" s="1">
        <v>33861.57</v>
      </c>
      <c r="N521">
        <v>5</v>
      </c>
      <c r="O521" s="2">
        <v>0.15</v>
      </c>
      <c r="P521" s="1">
        <v>3751.5</v>
      </c>
      <c r="Q521" t="s">
        <v>52</v>
      </c>
      <c r="R521" t="s">
        <v>53</v>
      </c>
    </row>
    <row r="522" spans="1:18" x14ac:dyDescent="0.3">
      <c r="A522">
        <v>1521</v>
      </c>
      <c r="B522" s="3">
        <v>45295</v>
      </c>
      <c r="C522" s="3">
        <v>45296</v>
      </c>
      <c r="D522" t="s">
        <v>142</v>
      </c>
      <c r="E522" t="s">
        <v>1074</v>
      </c>
      <c r="F522" t="s">
        <v>31</v>
      </c>
      <c r="G522" t="s">
        <v>70</v>
      </c>
      <c r="H522" t="s">
        <v>71</v>
      </c>
      <c r="I522" t="s">
        <v>58</v>
      </c>
      <c r="J522" t="s">
        <v>24</v>
      </c>
      <c r="K522" t="s">
        <v>50</v>
      </c>
      <c r="L522" t="s">
        <v>1075</v>
      </c>
      <c r="M522" s="1">
        <v>20462.939999999999</v>
      </c>
      <c r="N522">
        <v>9</v>
      </c>
      <c r="O522" s="2">
        <v>0.15</v>
      </c>
      <c r="P522" s="1">
        <v>3845.07</v>
      </c>
      <c r="Q522" t="s">
        <v>52</v>
      </c>
      <c r="R522" t="s">
        <v>53</v>
      </c>
    </row>
    <row r="523" spans="1:18" x14ac:dyDescent="0.3">
      <c r="A523">
        <v>1522</v>
      </c>
      <c r="B523" s="3">
        <v>45956</v>
      </c>
      <c r="C523" s="3">
        <v>45958</v>
      </c>
      <c r="D523" t="s">
        <v>204</v>
      </c>
      <c r="E523" t="s">
        <v>1002</v>
      </c>
      <c r="F523" t="s">
        <v>20</v>
      </c>
      <c r="G523" t="s">
        <v>85</v>
      </c>
      <c r="H523" t="s">
        <v>86</v>
      </c>
      <c r="I523" t="s">
        <v>49</v>
      </c>
      <c r="J523" t="s">
        <v>35</v>
      </c>
      <c r="K523" t="s">
        <v>59</v>
      </c>
      <c r="L523" t="s">
        <v>1076</v>
      </c>
      <c r="M523" s="1">
        <v>46967.26</v>
      </c>
      <c r="N523">
        <v>9</v>
      </c>
      <c r="O523" s="2">
        <v>0.1</v>
      </c>
      <c r="P523" s="1">
        <v>2689.69</v>
      </c>
      <c r="Q523" t="s">
        <v>74</v>
      </c>
      <c r="R523" t="s">
        <v>39</v>
      </c>
    </row>
    <row r="524" spans="1:18" x14ac:dyDescent="0.3">
      <c r="A524">
        <v>1523</v>
      </c>
      <c r="B524" s="3">
        <v>45453</v>
      </c>
      <c r="C524" s="3">
        <v>45455</v>
      </c>
      <c r="D524" t="s">
        <v>272</v>
      </c>
      <c r="E524" t="s">
        <v>135</v>
      </c>
      <c r="F524" t="s">
        <v>20</v>
      </c>
      <c r="G524" t="s">
        <v>85</v>
      </c>
      <c r="H524" t="s">
        <v>86</v>
      </c>
      <c r="I524" t="s">
        <v>49</v>
      </c>
      <c r="J524" t="s">
        <v>35</v>
      </c>
      <c r="K524" t="s">
        <v>42</v>
      </c>
      <c r="L524" t="s">
        <v>1077</v>
      </c>
      <c r="M524" s="1">
        <v>35349.68</v>
      </c>
      <c r="N524">
        <v>7</v>
      </c>
      <c r="O524" s="2">
        <v>0.1</v>
      </c>
      <c r="P524" s="1">
        <v>2777.45</v>
      </c>
      <c r="Q524" t="s">
        <v>52</v>
      </c>
      <c r="R524" t="s">
        <v>120</v>
      </c>
    </row>
    <row r="525" spans="1:18" x14ac:dyDescent="0.3">
      <c r="A525">
        <v>1524</v>
      </c>
      <c r="B525" s="3">
        <v>45787</v>
      </c>
      <c r="C525" s="3">
        <v>45791</v>
      </c>
      <c r="D525" t="s">
        <v>1078</v>
      </c>
      <c r="E525" t="s">
        <v>533</v>
      </c>
      <c r="F525" t="s">
        <v>31</v>
      </c>
      <c r="G525" t="s">
        <v>90</v>
      </c>
      <c r="H525" t="s">
        <v>91</v>
      </c>
      <c r="I525" t="s">
        <v>23</v>
      </c>
      <c r="J525" t="s">
        <v>35</v>
      </c>
      <c r="K525" t="s">
        <v>59</v>
      </c>
      <c r="L525" t="s">
        <v>1079</v>
      </c>
      <c r="M525" s="1">
        <v>40952.33</v>
      </c>
      <c r="N525">
        <v>5</v>
      </c>
      <c r="O525" s="2">
        <v>0.15</v>
      </c>
      <c r="P525" s="1">
        <v>4369.3100000000004</v>
      </c>
      <c r="Q525" t="s">
        <v>74</v>
      </c>
      <c r="R525" t="s">
        <v>39</v>
      </c>
    </row>
    <row r="526" spans="1:18" x14ac:dyDescent="0.3">
      <c r="A526">
        <v>1525</v>
      </c>
      <c r="B526" s="3">
        <v>45409</v>
      </c>
      <c r="C526" s="3">
        <v>45411</v>
      </c>
      <c r="D526" t="s">
        <v>340</v>
      </c>
      <c r="E526" t="s">
        <v>163</v>
      </c>
      <c r="F526" t="s">
        <v>31</v>
      </c>
      <c r="G526" t="s">
        <v>107</v>
      </c>
      <c r="H526" t="s">
        <v>108</v>
      </c>
      <c r="I526" t="s">
        <v>34</v>
      </c>
      <c r="J526" t="s">
        <v>35</v>
      </c>
      <c r="K526" t="s">
        <v>42</v>
      </c>
      <c r="L526" t="s">
        <v>1080</v>
      </c>
      <c r="M526" s="1">
        <v>50453.62</v>
      </c>
      <c r="N526">
        <v>5</v>
      </c>
      <c r="O526" s="2">
        <v>0.25</v>
      </c>
      <c r="P526" s="1">
        <v>-20.82</v>
      </c>
      <c r="Q526" t="s">
        <v>38</v>
      </c>
      <c r="R526" t="s">
        <v>28</v>
      </c>
    </row>
    <row r="527" spans="1:18" x14ac:dyDescent="0.3">
      <c r="A527">
        <v>1526</v>
      </c>
      <c r="B527" s="3">
        <v>45896</v>
      </c>
      <c r="C527" s="3">
        <v>45900</v>
      </c>
      <c r="D527" t="s">
        <v>314</v>
      </c>
      <c r="E527" t="s">
        <v>252</v>
      </c>
      <c r="F527" t="s">
        <v>31</v>
      </c>
      <c r="G527" t="s">
        <v>102</v>
      </c>
      <c r="H527" t="s">
        <v>103</v>
      </c>
      <c r="I527" t="s">
        <v>58</v>
      </c>
      <c r="J527" t="s">
        <v>24</v>
      </c>
      <c r="K527" t="s">
        <v>25</v>
      </c>
      <c r="L527" t="s">
        <v>1081</v>
      </c>
      <c r="M527" s="1">
        <v>50483.12</v>
      </c>
      <c r="N527">
        <v>5</v>
      </c>
      <c r="O527" s="2">
        <v>0.15</v>
      </c>
      <c r="P527" s="1">
        <v>8050.41</v>
      </c>
      <c r="Q527" t="s">
        <v>115</v>
      </c>
      <c r="R527" t="s">
        <v>120</v>
      </c>
    </row>
    <row r="528" spans="1:18" x14ac:dyDescent="0.3">
      <c r="A528">
        <v>1527</v>
      </c>
      <c r="B528" s="3">
        <v>45979</v>
      </c>
      <c r="C528" s="3">
        <v>45980</v>
      </c>
      <c r="D528" t="s">
        <v>277</v>
      </c>
      <c r="E528" t="s">
        <v>265</v>
      </c>
      <c r="F528" t="s">
        <v>31</v>
      </c>
      <c r="G528" t="s">
        <v>21</v>
      </c>
      <c r="H528" t="s">
        <v>22</v>
      </c>
      <c r="I528" t="s">
        <v>23</v>
      </c>
      <c r="J528" t="s">
        <v>24</v>
      </c>
      <c r="K528" t="s">
        <v>25</v>
      </c>
      <c r="L528" t="s">
        <v>1082</v>
      </c>
      <c r="M528" s="1">
        <v>29542.93</v>
      </c>
      <c r="N528">
        <v>2</v>
      </c>
      <c r="O528" s="2">
        <v>0.1</v>
      </c>
      <c r="P528" s="1">
        <v>1840.03</v>
      </c>
      <c r="Q528" t="s">
        <v>74</v>
      </c>
      <c r="R528" t="s">
        <v>28</v>
      </c>
    </row>
    <row r="529" spans="1:18" x14ac:dyDescent="0.3">
      <c r="A529">
        <v>1528</v>
      </c>
      <c r="B529" s="3">
        <v>45487</v>
      </c>
      <c r="C529" s="3">
        <v>45489</v>
      </c>
      <c r="D529" t="s">
        <v>1083</v>
      </c>
      <c r="E529" t="s">
        <v>1053</v>
      </c>
      <c r="F529" t="s">
        <v>46</v>
      </c>
      <c r="G529" t="s">
        <v>70</v>
      </c>
      <c r="H529" t="s">
        <v>71</v>
      </c>
      <c r="I529" t="s">
        <v>58</v>
      </c>
      <c r="J529" t="s">
        <v>24</v>
      </c>
      <c r="K529" t="s">
        <v>50</v>
      </c>
      <c r="L529" t="s">
        <v>1084</v>
      </c>
      <c r="M529" s="1">
        <v>37467.269999999997</v>
      </c>
      <c r="N529">
        <v>8</v>
      </c>
      <c r="O529" s="2">
        <v>0.05</v>
      </c>
      <c r="P529" s="1">
        <v>9282.74</v>
      </c>
      <c r="Q529" t="s">
        <v>82</v>
      </c>
      <c r="R529" t="s">
        <v>28</v>
      </c>
    </row>
    <row r="530" spans="1:18" x14ac:dyDescent="0.3">
      <c r="A530">
        <v>1529</v>
      </c>
      <c r="B530" s="3">
        <v>45740</v>
      </c>
      <c r="C530" s="3">
        <v>45744</v>
      </c>
      <c r="D530" t="s">
        <v>414</v>
      </c>
      <c r="E530" t="s">
        <v>384</v>
      </c>
      <c r="F530" t="s">
        <v>46</v>
      </c>
      <c r="G530" t="s">
        <v>32</v>
      </c>
      <c r="H530" t="s">
        <v>33</v>
      </c>
      <c r="I530" t="s">
        <v>34</v>
      </c>
      <c r="J530" t="s">
        <v>64</v>
      </c>
      <c r="K530" t="s">
        <v>80</v>
      </c>
      <c r="L530" t="s">
        <v>1085</v>
      </c>
      <c r="M530" s="1">
        <v>10073.959999999999</v>
      </c>
      <c r="N530">
        <v>6</v>
      </c>
      <c r="O530" s="2">
        <v>0.3</v>
      </c>
      <c r="P530" s="1">
        <v>952.65</v>
      </c>
      <c r="Q530" t="s">
        <v>67</v>
      </c>
      <c r="R530" t="s">
        <v>28</v>
      </c>
    </row>
    <row r="531" spans="1:18" x14ac:dyDescent="0.3">
      <c r="A531">
        <v>1530</v>
      </c>
      <c r="B531" s="3">
        <v>45597</v>
      </c>
      <c r="C531" s="3">
        <v>45601</v>
      </c>
      <c r="D531" t="s">
        <v>708</v>
      </c>
      <c r="E531" t="s">
        <v>1074</v>
      </c>
      <c r="F531" t="s">
        <v>46</v>
      </c>
      <c r="G531" t="s">
        <v>90</v>
      </c>
      <c r="H531" t="s">
        <v>91</v>
      </c>
      <c r="I531" t="s">
        <v>23</v>
      </c>
      <c r="J531" t="s">
        <v>35</v>
      </c>
      <c r="K531" t="s">
        <v>36</v>
      </c>
      <c r="L531" t="s">
        <v>1086</v>
      </c>
      <c r="M531" s="1">
        <v>45376.61</v>
      </c>
      <c r="N531">
        <v>5</v>
      </c>
      <c r="O531" s="2">
        <v>0.25</v>
      </c>
      <c r="P531" s="1">
        <v>8851.23</v>
      </c>
      <c r="Q531" t="s">
        <v>67</v>
      </c>
      <c r="R531" t="s">
        <v>39</v>
      </c>
    </row>
    <row r="532" spans="1:18" x14ac:dyDescent="0.3">
      <c r="A532">
        <v>1531</v>
      </c>
      <c r="B532" s="3">
        <v>45556</v>
      </c>
      <c r="C532" s="3">
        <v>45561</v>
      </c>
      <c r="D532" t="s">
        <v>565</v>
      </c>
      <c r="E532" t="s">
        <v>356</v>
      </c>
      <c r="F532" t="s">
        <v>31</v>
      </c>
      <c r="G532" t="s">
        <v>56</v>
      </c>
      <c r="H532" t="s">
        <v>57</v>
      </c>
      <c r="I532" t="s">
        <v>58</v>
      </c>
      <c r="J532" t="s">
        <v>64</v>
      </c>
      <c r="K532" t="s">
        <v>65</v>
      </c>
      <c r="L532" t="s">
        <v>1087</v>
      </c>
      <c r="M532" s="1">
        <v>30008.12</v>
      </c>
      <c r="N532">
        <v>4</v>
      </c>
      <c r="O532" s="2">
        <v>0.3</v>
      </c>
      <c r="P532" s="1">
        <v>502.23</v>
      </c>
      <c r="Q532" t="s">
        <v>67</v>
      </c>
      <c r="R532" t="s">
        <v>39</v>
      </c>
    </row>
    <row r="533" spans="1:18" x14ac:dyDescent="0.3">
      <c r="A533">
        <v>1532</v>
      </c>
      <c r="B533" s="3">
        <v>45327</v>
      </c>
      <c r="C533" s="3">
        <v>45332</v>
      </c>
      <c r="D533" t="s">
        <v>461</v>
      </c>
      <c r="E533" t="s">
        <v>646</v>
      </c>
      <c r="F533" t="s">
        <v>46</v>
      </c>
      <c r="G533" t="s">
        <v>70</v>
      </c>
      <c r="H533" t="s">
        <v>71</v>
      </c>
      <c r="I533" t="s">
        <v>58</v>
      </c>
      <c r="J533" t="s">
        <v>35</v>
      </c>
      <c r="K533" t="s">
        <v>42</v>
      </c>
      <c r="L533" t="s">
        <v>1088</v>
      </c>
      <c r="M533" s="1">
        <v>57016.07</v>
      </c>
      <c r="N533">
        <v>9</v>
      </c>
      <c r="O533" s="2">
        <v>0.3</v>
      </c>
      <c r="P533" s="1">
        <v>-1577.06</v>
      </c>
      <c r="Q533" t="s">
        <v>115</v>
      </c>
      <c r="R533" t="s">
        <v>28</v>
      </c>
    </row>
    <row r="534" spans="1:18" x14ac:dyDescent="0.3">
      <c r="A534">
        <v>1533</v>
      </c>
      <c r="B534" s="3">
        <v>45592</v>
      </c>
      <c r="C534" s="3">
        <v>45597</v>
      </c>
      <c r="D534" t="s">
        <v>458</v>
      </c>
      <c r="E534" t="s">
        <v>479</v>
      </c>
      <c r="F534" t="s">
        <v>31</v>
      </c>
      <c r="G534" t="s">
        <v>102</v>
      </c>
      <c r="H534" t="s">
        <v>103</v>
      </c>
      <c r="I534" t="s">
        <v>58</v>
      </c>
      <c r="J534" t="s">
        <v>35</v>
      </c>
      <c r="K534" t="s">
        <v>36</v>
      </c>
      <c r="L534" t="s">
        <v>1089</v>
      </c>
      <c r="M534" s="1">
        <v>39520.28</v>
      </c>
      <c r="N534">
        <v>1</v>
      </c>
      <c r="O534" s="2">
        <v>0.25</v>
      </c>
      <c r="P534" s="1">
        <v>6482.05</v>
      </c>
      <c r="Q534" t="s">
        <v>27</v>
      </c>
      <c r="R534" t="s">
        <v>39</v>
      </c>
    </row>
    <row r="535" spans="1:18" x14ac:dyDescent="0.3">
      <c r="A535">
        <v>1534</v>
      </c>
      <c r="B535" s="3">
        <v>45421</v>
      </c>
      <c r="C535" s="3">
        <v>45425</v>
      </c>
      <c r="D535" t="s">
        <v>62</v>
      </c>
      <c r="E535" t="s">
        <v>742</v>
      </c>
      <c r="F535" t="s">
        <v>46</v>
      </c>
      <c r="G535" t="s">
        <v>85</v>
      </c>
      <c r="H535" t="s">
        <v>86</v>
      </c>
      <c r="I535" t="s">
        <v>49</v>
      </c>
      <c r="J535" t="s">
        <v>24</v>
      </c>
      <c r="K535" t="s">
        <v>50</v>
      </c>
      <c r="L535" t="s">
        <v>1090</v>
      </c>
      <c r="M535" s="1">
        <v>28367.19</v>
      </c>
      <c r="N535">
        <v>5</v>
      </c>
      <c r="O535" s="2">
        <v>0</v>
      </c>
      <c r="P535" s="1">
        <v>7002.69</v>
      </c>
      <c r="Q535" t="s">
        <v>61</v>
      </c>
      <c r="R535" t="s">
        <v>28</v>
      </c>
    </row>
    <row r="536" spans="1:18" x14ac:dyDescent="0.3">
      <c r="A536">
        <v>1535</v>
      </c>
      <c r="B536" s="3">
        <v>45417</v>
      </c>
      <c r="C536" s="3">
        <v>45421</v>
      </c>
      <c r="D536" t="s">
        <v>1091</v>
      </c>
      <c r="E536" t="s">
        <v>1092</v>
      </c>
      <c r="F536" t="s">
        <v>31</v>
      </c>
      <c r="G536" t="s">
        <v>90</v>
      </c>
      <c r="H536" t="s">
        <v>91</v>
      </c>
      <c r="I536" t="s">
        <v>23</v>
      </c>
      <c r="J536" t="s">
        <v>24</v>
      </c>
      <c r="K536" t="s">
        <v>212</v>
      </c>
      <c r="L536" t="s">
        <v>1093</v>
      </c>
      <c r="M536" s="1">
        <v>39929.1</v>
      </c>
      <c r="N536">
        <v>9</v>
      </c>
      <c r="O536" s="2">
        <v>0.3</v>
      </c>
      <c r="P536" s="1">
        <v>6256.78</v>
      </c>
      <c r="Q536" t="s">
        <v>61</v>
      </c>
      <c r="R536" t="s">
        <v>39</v>
      </c>
    </row>
    <row r="537" spans="1:18" x14ac:dyDescent="0.3">
      <c r="A537">
        <v>1536</v>
      </c>
      <c r="B537" s="3">
        <v>45888</v>
      </c>
      <c r="C537" s="3">
        <v>45890</v>
      </c>
      <c r="D537" t="s">
        <v>173</v>
      </c>
      <c r="E537" t="s">
        <v>343</v>
      </c>
      <c r="F537" t="s">
        <v>46</v>
      </c>
      <c r="G537" t="s">
        <v>95</v>
      </c>
      <c r="H537" t="s">
        <v>22</v>
      </c>
      <c r="I537" t="s">
        <v>23</v>
      </c>
      <c r="J537" t="s">
        <v>35</v>
      </c>
      <c r="K537" t="s">
        <v>42</v>
      </c>
      <c r="L537" t="s">
        <v>1094</v>
      </c>
      <c r="M537" s="1">
        <v>16054.16</v>
      </c>
      <c r="N537">
        <v>2</v>
      </c>
      <c r="O537" s="2">
        <v>0.15</v>
      </c>
      <c r="P537" s="1">
        <v>1507.46</v>
      </c>
      <c r="Q537" t="s">
        <v>115</v>
      </c>
      <c r="R537" t="s">
        <v>53</v>
      </c>
    </row>
    <row r="538" spans="1:18" x14ac:dyDescent="0.3">
      <c r="A538">
        <v>1537</v>
      </c>
      <c r="B538" s="3">
        <v>45786</v>
      </c>
      <c r="C538" s="3">
        <v>45788</v>
      </c>
      <c r="D538" t="s">
        <v>1095</v>
      </c>
      <c r="E538" t="s">
        <v>1096</v>
      </c>
      <c r="F538" t="s">
        <v>46</v>
      </c>
      <c r="G538" t="s">
        <v>47</v>
      </c>
      <c r="H538" t="s">
        <v>48</v>
      </c>
      <c r="I538" t="s">
        <v>49</v>
      </c>
      <c r="J538" t="s">
        <v>64</v>
      </c>
      <c r="K538" t="s">
        <v>65</v>
      </c>
      <c r="L538" t="s">
        <v>1097</v>
      </c>
      <c r="M538" s="1">
        <v>72729.14</v>
      </c>
      <c r="N538">
        <v>7</v>
      </c>
      <c r="O538" s="2">
        <v>0.15</v>
      </c>
      <c r="P538" s="1">
        <v>2906.83</v>
      </c>
      <c r="Q538" t="s">
        <v>74</v>
      </c>
      <c r="R538" t="s">
        <v>120</v>
      </c>
    </row>
    <row r="539" spans="1:18" x14ac:dyDescent="0.3">
      <c r="A539">
        <v>1538</v>
      </c>
      <c r="B539" s="3">
        <v>45534</v>
      </c>
      <c r="C539" s="3">
        <v>45538</v>
      </c>
      <c r="D539" t="s">
        <v>852</v>
      </c>
      <c r="E539" t="s">
        <v>138</v>
      </c>
      <c r="F539" t="s">
        <v>20</v>
      </c>
      <c r="G539" t="s">
        <v>32</v>
      </c>
      <c r="H539" t="s">
        <v>33</v>
      </c>
      <c r="I539" t="s">
        <v>34</v>
      </c>
      <c r="J539" t="s">
        <v>24</v>
      </c>
      <c r="K539" t="s">
        <v>72</v>
      </c>
      <c r="L539" t="s">
        <v>1098</v>
      </c>
      <c r="M539" s="1">
        <v>41463.79</v>
      </c>
      <c r="N539">
        <v>10</v>
      </c>
      <c r="O539" s="2">
        <v>0.05</v>
      </c>
      <c r="P539" s="1">
        <v>9118.52</v>
      </c>
      <c r="Q539" t="s">
        <v>61</v>
      </c>
      <c r="R539" t="s">
        <v>28</v>
      </c>
    </row>
    <row r="540" spans="1:18" x14ac:dyDescent="0.3">
      <c r="A540">
        <v>1539</v>
      </c>
      <c r="B540" s="3">
        <v>45402</v>
      </c>
      <c r="C540" s="3">
        <v>45408</v>
      </c>
      <c r="D540" t="s">
        <v>220</v>
      </c>
      <c r="E540" t="s">
        <v>191</v>
      </c>
      <c r="F540" t="s">
        <v>20</v>
      </c>
      <c r="G540" t="s">
        <v>112</v>
      </c>
      <c r="H540" t="s">
        <v>113</v>
      </c>
      <c r="I540" t="s">
        <v>49</v>
      </c>
      <c r="J540" t="s">
        <v>35</v>
      </c>
      <c r="K540" t="s">
        <v>59</v>
      </c>
      <c r="L540" t="s">
        <v>1099</v>
      </c>
      <c r="M540" s="1">
        <v>37406</v>
      </c>
      <c r="N540">
        <v>8</v>
      </c>
      <c r="O540" s="2">
        <v>0.1</v>
      </c>
      <c r="P540" s="1">
        <v>7240.55</v>
      </c>
      <c r="Q540" t="s">
        <v>38</v>
      </c>
      <c r="R540" t="s">
        <v>39</v>
      </c>
    </row>
    <row r="541" spans="1:18" x14ac:dyDescent="0.3">
      <c r="A541">
        <v>1540</v>
      </c>
      <c r="B541" s="3">
        <v>45568</v>
      </c>
      <c r="C541" s="3">
        <v>45572</v>
      </c>
      <c r="D541" t="s">
        <v>518</v>
      </c>
      <c r="E541" t="s">
        <v>513</v>
      </c>
      <c r="F541" t="s">
        <v>46</v>
      </c>
      <c r="G541" t="s">
        <v>32</v>
      </c>
      <c r="H541" t="s">
        <v>33</v>
      </c>
      <c r="I541" t="s">
        <v>34</v>
      </c>
      <c r="J541" t="s">
        <v>24</v>
      </c>
      <c r="K541" t="s">
        <v>25</v>
      </c>
      <c r="L541" t="s">
        <v>1100</v>
      </c>
      <c r="M541" s="1">
        <v>13076.2</v>
      </c>
      <c r="N541">
        <v>9</v>
      </c>
      <c r="O541" s="2">
        <v>0</v>
      </c>
      <c r="P541" s="1">
        <v>3194.69</v>
      </c>
      <c r="Q541" t="s">
        <v>52</v>
      </c>
      <c r="R541" t="s">
        <v>39</v>
      </c>
    </row>
    <row r="542" spans="1:18" x14ac:dyDescent="0.3">
      <c r="A542">
        <v>1541</v>
      </c>
      <c r="B542" s="3">
        <v>45375</v>
      </c>
      <c r="C542" s="3">
        <v>45376</v>
      </c>
      <c r="D542" t="s">
        <v>464</v>
      </c>
      <c r="E542" t="s">
        <v>1101</v>
      </c>
      <c r="F542" t="s">
        <v>20</v>
      </c>
      <c r="G542" t="s">
        <v>95</v>
      </c>
      <c r="H542" t="s">
        <v>22</v>
      </c>
      <c r="I542" t="s">
        <v>23</v>
      </c>
      <c r="J542" t="s">
        <v>64</v>
      </c>
      <c r="K542" t="s">
        <v>65</v>
      </c>
      <c r="L542" t="s">
        <v>1102</v>
      </c>
      <c r="M542" s="1">
        <v>2561.11</v>
      </c>
      <c r="N542">
        <v>5</v>
      </c>
      <c r="O542" s="2">
        <v>0.05</v>
      </c>
      <c r="P542" s="1">
        <v>189.84</v>
      </c>
      <c r="Q542" t="s">
        <v>67</v>
      </c>
      <c r="R542" t="s">
        <v>39</v>
      </c>
    </row>
    <row r="543" spans="1:18" x14ac:dyDescent="0.3">
      <c r="A543">
        <v>1542</v>
      </c>
      <c r="B543" s="3">
        <v>45570</v>
      </c>
      <c r="C543" s="3">
        <v>45573</v>
      </c>
      <c r="D543" t="s">
        <v>333</v>
      </c>
      <c r="E543" t="s">
        <v>197</v>
      </c>
      <c r="F543" t="s">
        <v>20</v>
      </c>
      <c r="G543" t="s">
        <v>107</v>
      </c>
      <c r="H543" t="s">
        <v>108</v>
      </c>
      <c r="I543" t="s">
        <v>34</v>
      </c>
      <c r="J543" t="s">
        <v>64</v>
      </c>
      <c r="K543" t="s">
        <v>188</v>
      </c>
      <c r="L543" t="s">
        <v>1103</v>
      </c>
      <c r="M543" s="1">
        <v>20569.37</v>
      </c>
      <c r="N543">
        <v>1</v>
      </c>
      <c r="O543" s="2">
        <v>0.15</v>
      </c>
      <c r="P543" s="1">
        <v>456.79</v>
      </c>
      <c r="Q543" t="s">
        <v>82</v>
      </c>
      <c r="R543" t="s">
        <v>28</v>
      </c>
    </row>
    <row r="544" spans="1:18" x14ac:dyDescent="0.3">
      <c r="A544">
        <v>1543</v>
      </c>
      <c r="B544" s="3">
        <v>45297</v>
      </c>
      <c r="C544" s="3">
        <v>45299</v>
      </c>
      <c r="D544" t="s">
        <v>643</v>
      </c>
      <c r="E544" t="s">
        <v>659</v>
      </c>
      <c r="F544" t="s">
        <v>20</v>
      </c>
      <c r="G544" t="s">
        <v>85</v>
      </c>
      <c r="H544" t="s">
        <v>86</v>
      </c>
      <c r="I544" t="s">
        <v>49</v>
      </c>
      <c r="J544" t="s">
        <v>35</v>
      </c>
      <c r="K544" t="s">
        <v>59</v>
      </c>
      <c r="L544" t="s">
        <v>1104</v>
      </c>
      <c r="M544" s="1">
        <v>11832.8</v>
      </c>
      <c r="N544">
        <v>8</v>
      </c>
      <c r="O544" s="2">
        <v>0.15</v>
      </c>
      <c r="P544" s="1">
        <v>1546.79</v>
      </c>
      <c r="Q544" t="s">
        <v>67</v>
      </c>
      <c r="R544" t="s">
        <v>28</v>
      </c>
    </row>
    <row r="545" spans="1:18" x14ac:dyDescent="0.3">
      <c r="A545">
        <v>1544</v>
      </c>
      <c r="B545" s="3">
        <v>45691</v>
      </c>
      <c r="C545" s="3">
        <v>45695</v>
      </c>
      <c r="D545" t="s">
        <v>772</v>
      </c>
      <c r="E545" t="s">
        <v>723</v>
      </c>
      <c r="F545" t="s">
        <v>20</v>
      </c>
      <c r="G545" t="s">
        <v>107</v>
      </c>
      <c r="H545" t="s">
        <v>108</v>
      </c>
      <c r="I545" t="s">
        <v>34</v>
      </c>
      <c r="J545" t="s">
        <v>35</v>
      </c>
      <c r="K545" t="s">
        <v>129</v>
      </c>
      <c r="L545" t="s">
        <v>1105</v>
      </c>
      <c r="M545" s="1">
        <v>10675.19</v>
      </c>
      <c r="N545">
        <v>8</v>
      </c>
      <c r="O545" s="2">
        <v>0.15</v>
      </c>
      <c r="P545" s="1">
        <v>922.33</v>
      </c>
      <c r="Q545" t="s">
        <v>82</v>
      </c>
      <c r="R545" t="s">
        <v>120</v>
      </c>
    </row>
    <row r="546" spans="1:18" x14ac:dyDescent="0.3">
      <c r="A546">
        <v>1545</v>
      </c>
      <c r="B546" s="3">
        <v>45862</v>
      </c>
      <c r="C546" s="3">
        <v>45865</v>
      </c>
      <c r="D546" t="s">
        <v>787</v>
      </c>
      <c r="E546" t="s">
        <v>1106</v>
      </c>
      <c r="F546" t="s">
        <v>31</v>
      </c>
      <c r="G546" t="s">
        <v>85</v>
      </c>
      <c r="H546" t="s">
        <v>86</v>
      </c>
      <c r="I546" t="s">
        <v>49</v>
      </c>
      <c r="J546" t="s">
        <v>35</v>
      </c>
      <c r="K546" t="s">
        <v>42</v>
      </c>
      <c r="L546" t="s">
        <v>1107</v>
      </c>
      <c r="M546" s="1">
        <v>46819.07</v>
      </c>
      <c r="N546">
        <v>1</v>
      </c>
      <c r="O546" s="2">
        <v>0</v>
      </c>
      <c r="P546" s="1">
        <v>6394.05</v>
      </c>
      <c r="Q546" t="s">
        <v>67</v>
      </c>
      <c r="R546" t="s">
        <v>53</v>
      </c>
    </row>
    <row r="547" spans="1:18" x14ac:dyDescent="0.3">
      <c r="A547">
        <v>1546</v>
      </c>
      <c r="B547" s="3">
        <v>45626</v>
      </c>
      <c r="C547" s="3">
        <v>45632</v>
      </c>
      <c r="D547" t="s">
        <v>687</v>
      </c>
      <c r="E547" t="s">
        <v>581</v>
      </c>
      <c r="F547" t="s">
        <v>31</v>
      </c>
      <c r="G547" t="s">
        <v>85</v>
      </c>
      <c r="H547" t="s">
        <v>86</v>
      </c>
      <c r="I547" t="s">
        <v>49</v>
      </c>
      <c r="J547" t="s">
        <v>35</v>
      </c>
      <c r="K547" t="s">
        <v>42</v>
      </c>
      <c r="L547" t="s">
        <v>1108</v>
      </c>
      <c r="M547" s="1">
        <v>40625.839999999997</v>
      </c>
      <c r="N547">
        <v>9</v>
      </c>
      <c r="O547" s="2">
        <v>0.05</v>
      </c>
      <c r="P547" s="1">
        <v>4431.24</v>
      </c>
      <c r="Q547" t="s">
        <v>27</v>
      </c>
      <c r="R547" t="s">
        <v>53</v>
      </c>
    </row>
    <row r="548" spans="1:18" x14ac:dyDescent="0.3">
      <c r="A548">
        <v>1547</v>
      </c>
      <c r="B548" s="3">
        <v>45701</v>
      </c>
      <c r="C548" s="3">
        <v>45703</v>
      </c>
      <c r="D548" t="s">
        <v>295</v>
      </c>
      <c r="E548" t="s">
        <v>84</v>
      </c>
      <c r="F548" t="s">
        <v>31</v>
      </c>
      <c r="G548" t="s">
        <v>32</v>
      </c>
      <c r="H548" t="s">
        <v>33</v>
      </c>
      <c r="I548" t="s">
        <v>34</v>
      </c>
      <c r="J548" t="s">
        <v>24</v>
      </c>
      <c r="K548" t="s">
        <v>212</v>
      </c>
      <c r="L548" t="s">
        <v>1109</v>
      </c>
      <c r="M548" s="1">
        <v>49661.63</v>
      </c>
      <c r="N548">
        <v>10</v>
      </c>
      <c r="O548" s="2">
        <v>0.15</v>
      </c>
      <c r="P548" s="1">
        <v>5573.06</v>
      </c>
      <c r="Q548" t="s">
        <v>38</v>
      </c>
      <c r="R548" t="s">
        <v>28</v>
      </c>
    </row>
    <row r="549" spans="1:18" x14ac:dyDescent="0.3">
      <c r="A549">
        <v>1548</v>
      </c>
      <c r="B549" s="3">
        <v>45771</v>
      </c>
      <c r="C549" s="3">
        <v>45774</v>
      </c>
      <c r="D549" t="s">
        <v>1110</v>
      </c>
      <c r="E549" t="s">
        <v>468</v>
      </c>
      <c r="F549" t="s">
        <v>20</v>
      </c>
      <c r="G549" t="s">
        <v>32</v>
      </c>
      <c r="H549" t="s">
        <v>33</v>
      </c>
      <c r="I549" t="s">
        <v>34</v>
      </c>
      <c r="J549" t="s">
        <v>35</v>
      </c>
      <c r="K549" t="s">
        <v>42</v>
      </c>
      <c r="L549" t="s">
        <v>1111</v>
      </c>
      <c r="M549" s="1">
        <v>60698.8</v>
      </c>
      <c r="N549">
        <v>5</v>
      </c>
      <c r="O549" s="2">
        <v>0.25</v>
      </c>
      <c r="P549" s="1">
        <v>1118.58</v>
      </c>
      <c r="Q549" t="s">
        <v>27</v>
      </c>
      <c r="R549" t="s">
        <v>53</v>
      </c>
    </row>
    <row r="550" spans="1:18" x14ac:dyDescent="0.3">
      <c r="A550">
        <v>1549</v>
      </c>
      <c r="B550" s="3">
        <v>45787</v>
      </c>
      <c r="C550" s="3">
        <v>45791</v>
      </c>
      <c r="D550" t="s">
        <v>857</v>
      </c>
      <c r="E550" t="s">
        <v>191</v>
      </c>
      <c r="F550" t="s">
        <v>31</v>
      </c>
      <c r="G550" t="s">
        <v>107</v>
      </c>
      <c r="H550" t="s">
        <v>108</v>
      </c>
      <c r="I550" t="s">
        <v>34</v>
      </c>
      <c r="J550" t="s">
        <v>64</v>
      </c>
      <c r="K550" t="s">
        <v>80</v>
      </c>
      <c r="L550" t="s">
        <v>1112</v>
      </c>
      <c r="M550" s="1">
        <v>77311.25</v>
      </c>
      <c r="N550">
        <v>8</v>
      </c>
      <c r="O550" s="2">
        <v>0.3</v>
      </c>
      <c r="P550" s="1">
        <v>-2074.7199999999998</v>
      </c>
      <c r="Q550" t="s">
        <v>38</v>
      </c>
      <c r="R550" t="s">
        <v>53</v>
      </c>
    </row>
    <row r="551" spans="1:18" x14ac:dyDescent="0.3">
      <c r="A551">
        <v>1550</v>
      </c>
      <c r="B551" s="3">
        <v>45875</v>
      </c>
      <c r="C551" s="3">
        <v>45881</v>
      </c>
      <c r="D551" t="s">
        <v>673</v>
      </c>
      <c r="E551" t="s">
        <v>542</v>
      </c>
      <c r="F551" t="s">
        <v>46</v>
      </c>
      <c r="G551" t="s">
        <v>70</v>
      </c>
      <c r="H551" t="s">
        <v>71</v>
      </c>
      <c r="I551" t="s">
        <v>58</v>
      </c>
      <c r="J551" t="s">
        <v>24</v>
      </c>
      <c r="K551" t="s">
        <v>212</v>
      </c>
      <c r="L551" t="s">
        <v>1113</v>
      </c>
      <c r="M551" s="1">
        <v>64740.81</v>
      </c>
      <c r="N551">
        <v>1</v>
      </c>
      <c r="O551" s="2">
        <v>0.2</v>
      </c>
      <c r="P551" s="1">
        <v>13030.99</v>
      </c>
      <c r="Q551" t="s">
        <v>115</v>
      </c>
      <c r="R551" t="s">
        <v>120</v>
      </c>
    </row>
    <row r="552" spans="1:18" x14ac:dyDescent="0.3">
      <c r="A552">
        <v>1551</v>
      </c>
      <c r="B552" s="3">
        <v>45803</v>
      </c>
      <c r="C552" s="3">
        <v>45805</v>
      </c>
      <c r="D552" t="s">
        <v>472</v>
      </c>
      <c r="E552" t="s">
        <v>824</v>
      </c>
      <c r="F552" t="s">
        <v>46</v>
      </c>
      <c r="G552" t="s">
        <v>21</v>
      </c>
      <c r="H552" t="s">
        <v>22</v>
      </c>
      <c r="I552" t="s">
        <v>23</v>
      </c>
      <c r="J552" t="s">
        <v>24</v>
      </c>
      <c r="K552" t="s">
        <v>224</v>
      </c>
      <c r="L552" t="s">
        <v>1114</v>
      </c>
      <c r="M552" s="1">
        <v>15099.03</v>
      </c>
      <c r="N552">
        <v>4</v>
      </c>
      <c r="O552" s="2">
        <v>0.2</v>
      </c>
      <c r="P552" s="1">
        <v>138.99</v>
      </c>
      <c r="Q552" t="s">
        <v>115</v>
      </c>
      <c r="R552" t="s">
        <v>39</v>
      </c>
    </row>
    <row r="553" spans="1:18" x14ac:dyDescent="0.3">
      <c r="A553">
        <v>1552</v>
      </c>
      <c r="B553" s="3">
        <v>45745</v>
      </c>
      <c r="C553" s="3">
        <v>45746</v>
      </c>
      <c r="D553" t="s">
        <v>586</v>
      </c>
      <c r="E553" t="s">
        <v>730</v>
      </c>
      <c r="F553" t="s">
        <v>20</v>
      </c>
      <c r="G553" t="s">
        <v>70</v>
      </c>
      <c r="H553" t="s">
        <v>71</v>
      </c>
      <c r="I553" t="s">
        <v>58</v>
      </c>
      <c r="J553" t="s">
        <v>64</v>
      </c>
      <c r="K553" t="s">
        <v>65</v>
      </c>
      <c r="L553" t="s">
        <v>1115</v>
      </c>
      <c r="M553" s="1">
        <v>68433.460000000006</v>
      </c>
      <c r="N553">
        <v>9</v>
      </c>
      <c r="O553" s="2">
        <v>0.25</v>
      </c>
      <c r="P553" s="1">
        <v>6491.69</v>
      </c>
      <c r="Q553" t="s">
        <v>27</v>
      </c>
      <c r="R553" t="s">
        <v>39</v>
      </c>
    </row>
    <row r="554" spans="1:18" x14ac:dyDescent="0.3">
      <c r="A554">
        <v>1553</v>
      </c>
      <c r="B554" s="3">
        <v>45296</v>
      </c>
      <c r="C554" s="3">
        <v>45300</v>
      </c>
      <c r="D554" t="s">
        <v>1116</v>
      </c>
      <c r="E554" t="s">
        <v>706</v>
      </c>
      <c r="F554" t="s">
        <v>46</v>
      </c>
      <c r="G554" t="s">
        <v>56</v>
      </c>
      <c r="H554" t="s">
        <v>57</v>
      </c>
      <c r="I554" t="s">
        <v>58</v>
      </c>
      <c r="J554" t="s">
        <v>64</v>
      </c>
      <c r="K554" t="s">
        <v>65</v>
      </c>
      <c r="L554" t="s">
        <v>1117</v>
      </c>
      <c r="M554" s="1">
        <v>39020.97</v>
      </c>
      <c r="N554">
        <v>6</v>
      </c>
      <c r="O554" s="2">
        <v>0.25</v>
      </c>
      <c r="P554" s="1">
        <v>7169.57</v>
      </c>
      <c r="Q554" t="s">
        <v>67</v>
      </c>
      <c r="R554" t="s">
        <v>53</v>
      </c>
    </row>
    <row r="555" spans="1:18" x14ac:dyDescent="0.3">
      <c r="A555">
        <v>1554</v>
      </c>
      <c r="B555" s="3">
        <v>45719</v>
      </c>
      <c r="C555" s="3">
        <v>45721</v>
      </c>
      <c r="D555" t="s">
        <v>170</v>
      </c>
      <c r="E555" t="s">
        <v>662</v>
      </c>
      <c r="F555" t="s">
        <v>46</v>
      </c>
      <c r="G555" t="s">
        <v>70</v>
      </c>
      <c r="H555" t="s">
        <v>71</v>
      </c>
      <c r="I555" t="s">
        <v>58</v>
      </c>
      <c r="J555" t="s">
        <v>35</v>
      </c>
      <c r="K555" t="s">
        <v>36</v>
      </c>
      <c r="L555" t="s">
        <v>1118</v>
      </c>
      <c r="M555" s="1">
        <v>72897.94</v>
      </c>
      <c r="N555">
        <v>4</v>
      </c>
      <c r="O555" s="2">
        <v>0.1</v>
      </c>
      <c r="P555" s="1">
        <v>17295.28</v>
      </c>
      <c r="Q555" t="s">
        <v>74</v>
      </c>
      <c r="R555" t="s">
        <v>39</v>
      </c>
    </row>
    <row r="556" spans="1:18" x14ac:dyDescent="0.3">
      <c r="A556">
        <v>1555</v>
      </c>
      <c r="B556" s="3">
        <v>45909</v>
      </c>
      <c r="C556" s="3">
        <v>45914</v>
      </c>
      <c r="D556" t="s">
        <v>852</v>
      </c>
      <c r="E556" t="s">
        <v>1119</v>
      </c>
      <c r="F556" t="s">
        <v>20</v>
      </c>
      <c r="G556" t="s">
        <v>21</v>
      </c>
      <c r="H556" t="s">
        <v>22</v>
      </c>
      <c r="I556" t="s">
        <v>23</v>
      </c>
      <c r="J556" t="s">
        <v>64</v>
      </c>
      <c r="K556" t="s">
        <v>65</v>
      </c>
      <c r="L556" t="s">
        <v>1120</v>
      </c>
      <c r="M556" s="1">
        <v>42566.5</v>
      </c>
      <c r="N556">
        <v>6</v>
      </c>
      <c r="O556" s="2">
        <v>0.3</v>
      </c>
      <c r="P556" s="1">
        <v>4802.5200000000004</v>
      </c>
      <c r="Q556" t="s">
        <v>52</v>
      </c>
      <c r="R556" t="s">
        <v>53</v>
      </c>
    </row>
    <row r="557" spans="1:18" x14ac:dyDescent="0.3">
      <c r="A557">
        <v>1556</v>
      </c>
      <c r="B557" s="3">
        <v>45634</v>
      </c>
      <c r="C557" s="3">
        <v>45635</v>
      </c>
      <c r="D557" t="s">
        <v>162</v>
      </c>
      <c r="E557" t="s">
        <v>637</v>
      </c>
      <c r="F557" t="s">
        <v>20</v>
      </c>
      <c r="G557" t="s">
        <v>56</v>
      </c>
      <c r="H557" t="s">
        <v>57</v>
      </c>
      <c r="I557" t="s">
        <v>58</v>
      </c>
      <c r="J557" t="s">
        <v>24</v>
      </c>
      <c r="K557" t="s">
        <v>25</v>
      </c>
      <c r="L557" t="s">
        <v>1121</v>
      </c>
      <c r="M557" s="1">
        <v>19128.98</v>
      </c>
      <c r="N557">
        <v>1</v>
      </c>
      <c r="O557" s="2">
        <v>0.1</v>
      </c>
      <c r="P557" s="1">
        <v>1318.36</v>
      </c>
      <c r="Q557" t="s">
        <v>61</v>
      </c>
      <c r="R557" t="s">
        <v>39</v>
      </c>
    </row>
    <row r="558" spans="1:18" x14ac:dyDescent="0.3">
      <c r="A558">
        <v>1557</v>
      </c>
      <c r="B558" s="3">
        <v>45596</v>
      </c>
      <c r="C558" s="3">
        <v>45601</v>
      </c>
      <c r="D558" t="s">
        <v>214</v>
      </c>
      <c r="E558" t="s">
        <v>138</v>
      </c>
      <c r="F558" t="s">
        <v>31</v>
      </c>
      <c r="G558" t="s">
        <v>70</v>
      </c>
      <c r="H558" t="s">
        <v>71</v>
      </c>
      <c r="I558" t="s">
        <v>58</v>
      </c>
      <c r="J558" t="s">
        <v>24</v>
      </c>
      <c r="K558" t="s">
        <v>25</v>
      </c>
      <c r="L558" t="s">
        <v>1100</v>
      </c>
      <c r="M558" s="1">
        <v>14475.98</v>
      </c>
      <c r="N558">
        <v>2</v>
      </c>
      <c r="O558" s="2">
        <v>0.2</v>
      </c>
      <c r="P558" s="1">
        <v>734.95</v>
      </c>
      <c r="Q558" t="s">
        <v>82</v>
      </c>
      <c r="R558" t="s">
        <v>120</v>
      </c>
    </row>
    <row r="559" spans="1:18" x14ac:dyDescent="0.3">
      <c r="A559">
        <v>1558</v>
      </c>
      <c r="B559" s="3">
        <v>45639</v>
      </c>
      <c r="C559" s="3">
        <v>45641</v>
      </c>
      <c r="D559" t="s">
        <v>289</v>
      </c>
      <c r="E559" t="s">
        <v>309</v>
      </c>
      <c r="F559" t="s">
        <v>31</v>
      </c>
      <c r="G559" t="s">
        <v>90</v>
      </c>
      <c r="H559" t="s">
        <v>91</v>
      </c>
      <c r="I559" t="s">
        <v>23</v>
      </c>
      <c r="J559" t="s">
        <v>35</v>
      </c>
      <c r="K559" t="s">
        <v>129</v>
      </c>
      <c r="L559" t="s">
        <v>1122</v>
      </c>
      <c r="M559" s="1">
        <v>3685.81</v>
      </c>
      <c r="N559">
        <v>2</v>
      </c>
      <c r="O559" s="2">
        <v>0.05</v>
      </c>
      <c r="P559" s="1">
        <v>860.98</v>
      </c>
      <c r="Q559" t="s">
        <v>61</v>
      </c>
      <c r="R559" t="s">
        <v>53</v>
      </c>
    </row>
    <row r="560" spans="1:18" x14ac:dyDescent="0.3">
      <c r="A560">
        <v>1559</v>
      </c>
      <c r="B560" s="3">
        <v>45561</v>
      </c>
      <c r="C560" s="3">
        <v>45566</v>
      </c>
      <c r="D560" t="s">
        <v>1123</v>
      </c>
      <c r="E560" t="s">
        <v>858</v>
      </c>
      <c r="F560" t="s">
        <v>46</v>
      </c>
      <c r="G560" t="s">
        <v>95</v>
      </c>
      <c r="H560" t="s">
        <v>22</v>
      </c>
      <c r="I560" t="s">
        <v>23</v>
      </c>
      <c r="J560" t="s">
        <v>24</v>
      </c>
      <c r="K560" t="s">
        <v>212</v>
      </c>
      <c r="L560" t="s">
        <v>1124</v>
      </c>
      <c r="M560" s="1">
        <v>86632.98</v>
      </c>
      <c r="N560">
        <v>1</v>
      </c>
      <c r="O560" s="2">
        <v>0</v>
      </c>
      <c r="P560" s="1">
        <v>15316.74</v>
      </c>
      <c r="Q560" t="s">
        <v>115</v>
      </c>
      <c r="R560" t="s">
        <v>28</v>
      </c>
    </row>
    <row r="561" spans="1:18" x14ac:dyDescent="0.3">
      <c r="A561">
        <v>1560</v>
      </c>
      <c r="B561" s="3">
        <v>45780</v>
      </c>
      <c r="C561" s="3">
        <v>45783</v>
      </c>
      <c r="D561" t="s">
        <v>500</v>
      </c>
      <c r="E561" t="s">
        <v>1125</v>
      </c>
      <c r="F561" t="s">
        <v>46</v>
      </c>
      <c r="G561" t="s">
        <v>21</v>
      </c>
      <c r="H561" t="s">
        <v>22</v>
      </c>
      <c r="I561" t="s">
        <v>23</v>
      </c>
      <c r="J561" t="s">
        <v>35</v>
      </c>
      <c r="K561" t="s">
        <v>59</v>
      </c>
      <c r="L561" t="s">
        <v>1126</v>
      </c>
      <c r="M561" s="1">
        <v>42155.02</v>
      </c>
      <c r="N561">
        <v>2</v>
      </c>
      <c r="O561" s="2">
        <v>0.25</v>
      </c>
      <c r="P561" s="1">
        <v>-65.13</v>
      </c>
      <c r="Q561" t="s">
        <v>61</v>
      </c>
      <c r="R561" t="s">
        <v>28</v>
      </c>
    </row>
    <row r="562" spans="1:18" x14ac:dyDescent="0.3">
      <c r="A562">
        <v>1561</v>
      </c>
      <c r="B562" s="3">
        <v>45561</v>
      </c>
      <c r="C562" s="3">
        <v>45564</v>
      </c>
      <c r="D562" t="s">
        <v>1095</v>
      </c>
      <c r="E562" t="s">
        <v>833</v>
      </c>
      <c r="F562" t="s">
        <v>46</v>
      </c>
      <c r="G562" t="s">
        <v>90</v>
      </c>
      <c r="H562" t="s">
        <v>91</v>
      </c>
      <c r="I562" t="s">
        <v>23</v>
      </c>
      <c r="J562" t="s">
        <v>64</v>
      </c>
      <c r="K562" t="s">
        <v>104</v>
      </c>
      <c r="L562" t="s">
        <v>1127</v>
      </c>
      <c r="M562" s="1">
        <v>41440.379999999997</v>
      </c>
      <c r="N562">
        <v>1</v>
      </c>
      <c r="O562" s="2">
        <v>0.1</v>
      </c>
      <c r="P562" s="1">
        <v>7886.54</v>
      </c>
      <c r="Q562" t="s">
        <v>67</v>
      </c>
      <c r="R562" t="s">
        <v>120</v>
      </c>
    </row>
    <row r="563" spans="1:18" x14ac:dyDescent="0.3">
      <c r="A563">
        <v>1562</v>
      </c>
      <c r="B563" s="3">
        <v>45509</v>
      </c>
      <c r="C563" s="3">
        <v>45511</v>
      </c>
      <c r="D563" t="s">
        <v>1128</v>
      </c>
      <c r="E563" t="s">
        <v>312</v>
      </c>
      <c r="F563" t="s">
        <v>20</v>
      </c>
      <c r="G563" t="s">
        <v>85</v>
      </c>
      <c r="H563" t="s">
        <v>86</v>
      </c>
      <c r="I563" t="s">
        <v>49</v>
      </c>
      <c r="J563" t="s">
        <v>64</v>
      </c>
      <c r="K563" t="s">
        <v>157</v>
      </c>
      <c r="L563" t="s">
        <v>1129</v>
      </c>
      <c r="M563" s="1">
        <v>15657.76</v>
      </c>
      <c r="N563">
        <v>10</v>
      </c>
      <c r="O563" s="2">
        <v>0.1</v>
      </c>
      <c r="P563" s="1">
        <v>711.44</v>
      </c>
      <c r="Q563" t="s">
        <v>38</v>
      </c>
      <c r="R563" t="s">
        <v>120</v>
      </c>
    </row>
    <row r="564" spans="1:18" x14ac:dyDescent="0.3">
      <c r="A564">
        <v>1563</v>
      </c>
      <c r="B564" s="3">
        <v>45363</v>
      </c>
      <c r="C564" s="3">
        <v>45367</v>
      </c>
      <c r="D564" t="s">
        <v>475</v>
      </c>
      <c r="E564" t="s">
        <v>462</v>
      </c>
      <c r="F564" t="s">
        <v>46</v>
      </c>
      <c r="G564" t="s">
        <v>47</v>
      </c>
      <c r="H564" t="s">
        <v>48</v>
      </c>
      <c r="I564" t="s">
        <v>49</v>
      </c>
      <c r="J564" t="s">
        <v>64</v>
      </c>
      <c r="K564" t="s">
        <v>104</v>
      </c>
      <c r="L564" t="s">
        <v>1130</v>
      </c>
      <c r="M564" s="1">
        <v>3487.83</v>
      </c>
      <c r="N564">
        <v>5</v>
      </c>
      <c r="O564" s="2">
        <v>0.15</v>
      </c>
      <c r="P564" s="1">
        <v>735.8</v>
      </c>
      <c r="Q564" t="s">
        <v>115</v>
      </c>
      <c r="R564" t="s">
        <v>53</v>
      </c>
    </row>
    <row r="565" spans="1:18" x14ac:dyDescent="0.3">
      <c r="A565">
        <v>1564</v>
      </c>
      <c r="B565" s="3">
        <v>45939</v>
      </c>
      <c r="C565" s="3">
        <v>45941</v>
      </c>
      <c r="D565" t="s">
        <v>708</v>
      </c>
      <c r="E565" t="s">
        <v>513</v>
      </c>
      <c r="F565" t="s">
        <v>46</v>
      </c>
      <c r="G565" t="s">
        <v>70</v>
      </c>
      <c r="H565" t="s">
        <v>71</v>
      </c>
      <c r="I565" t="s">
        <v>58</v>
      </c>
      <c r="J565" t="s">
        <v>24</v>
      </c>
      <c r="K565" t="s">
        <v>224</v>
      </c>
      <c r="L565" t="s">
        <v>1131</v>
      </c>
      <c r="M565" s="1">
        <v>4842.16</v>
      </c>
      <c r="N565">
        <v>8</v>
      </c>
      <c r="O565" s="2">
        <v>0.1</v>
      </c>
      <c r="P565" s="1">
        <v>211.42</v>
      </c>
      <c r="Q565" t="s">
        <v>82</v>
      </c>
      <c r="R565" t="s">
        <v>120</v>
      </c>
    </row>
    <row r="566" spans="1:18" x14ac:dyDescent="0.3">
      <c r="A566">
        <v>1565</v>
      </c>
      <c r="B566" s="3">
        <v>45804</v>
      </c>
      <c r="C566" s="3">
        <v>45810</v>
      </c>
      <c r="D566" t="s">
        <v>240</v>
      </c>
      <c r="E566" t="s">
        <v>1132</v>
      </c>
      <c r="F566" t="s">
        <v>31</v>
      </c>
      <c r="G566" t="s">
        <v>95</v>
      </c>
      <c r="H566" t="s">
        <v>22</v>
      </c>
      <c r="I566" t="s">
        <v>23</v>
      </c>
      <c r="J566" t="s">
        <v>24</v>
      </c>
      <c r="K566" t="s">
        <v>212</v>
      </c>
      <c r="L566" t="s">
        <v>1133</v>
      </c>
      <c r="M566" s="1">
        <v>17235.03</v>
      </c>
      <c r="N566">
        <v>9</v>
      </c>
      <c r="O566" s="2">
        <v>0.3</v>
      </c>
      <c r="P566" s="1">
        <v>3007.5</v>
      </c>
      <c r="Q566" t="s">
        <v>67</v>
      </c>
      <c r="R566" t="s">
        <v>53</v>
      </c>
    </row>
    <row r="567" spans="1:18" x14ac:dyDescent="0.3">
      <c r="A567">
        <v>1566</v>
      </c>
      <c r="B567" s="3">
        <v>45756</v>
      </c>
      <c r="C567" s="3">
        <v>45761</v>
      </c>
      <c r="D567" t="s">
        <v>708</v>
      </c>
      <c r="E567" t="s">
        <v>990</v>
      </c>
      <c r="F567" t="s">
        <v>20</v>
      </c>
      <c r="G567" t="s">
        <v>70</v>
      </c>
      <c r="H567" t="s">
        <v>71</v>
      </c>
      <c r="I567" t="s">
        <v>58</v>
      </c>
      <c r="J567" t="s">
        <v>64</v>
      </c>
      <c r="K567" t="s">
        <v>157</v>
      </c>
      <c r="L567" t="s">
        <v>1134</v>
      </c>
      <c r="M567" s="1">
        <v>38125.56</v>
      </c>
      <c r="N567">
        <v>2</v>
      </c>
      <c r="O567" s="2">
        <v>0.1</v>
      </c>
      <c r="P567" s="1">
        <v>3050.62</v>
      </c>
      <c r="Q567" t="s">
        <v>82</v>
      </c>
      <c r="R567" t="s">
        <v>28</v>
      </c>
    </row>
    <row r="568" spans="1:18" x14ac:dyDescent="0.3">
      <c r="A568">
        <v>1567</v>
      </c>
      <c r="B568" s="3">
        <v>45931</v>
      </c>
      <c r="C568" s="3">
        <v>45937</v>
      </c>
      <c r="D568" t="s">
        <v>866</v>
      </c>
      <c r="E568" t="s">
        <v>473</v>
      </c>
      <c r="F568" t="s">
        <v>31</v>
      </c>
      <c r="G568" t="s">
        <v>90</v>
      </c>
      <c r="H568" t="s">
        <v>91</v>
      </c>
      <c r="I568" t="s">
        <v>23</v>
      </c>
      <c r="J568" t="s">
        <v>64</v>
      </c>
      <c r="K568" t="s">
        <v>157</v>
      </c>
      <c r="L568" t="s">
        <v>1135</v>
      </c>
      <c r="M568" s="1">
        <v>25785.73</v>
      </c>
      <c r="N568">
        <v>6</v>
      </c>
      <c r="O568" s="2">
        <v>0.05</v>
      </c>
      <c r="P568" s="1">
        <v>5492.71</v>
      </c>
      <c r="Q568" t="s">
        <v>67</v>
      </c>
      <c r="R568" t="s">
        <v>28</v>
      </c>
    </row>
    <row r="569" spans="1:18" x14ac:dyDescent="0.3">
      <c r="A569">
        <v>1568</v>
      </c>
      <c r="B569" s="3">
        <v>45853</v>
      </c>
      <c r="C569" s="3">
        <v>45858</v>
      </c>
      <c r="D569" t="s">
        <v>1136</v>
      </c>
      <c r="E569" t="s">
        <v>595</v>
      </c>
      <c r="F569" t="s">
        <v>46</v>
      </c>
      <c r="G569" t="s">
        <v>102</v>
      </c>
      <c r="H569" t="s">
        <v>103</v>
      </c>
      <c r="I569" t="s">
        <v>58</v>
      </c>
      <c r="J569" t="s">
        <v>35</v>
      </c>
      <c r="K569" t="s">
        <v>42</v>
      </c>
      <c r="L569" t="s">
        <v>1137</v>
      </c>
      <c r="M569" s="1">
        <v>73238.47</v>
      </c>
      <c r="N569">
        <v>10</v>
      </c>
      <c r="O569" s="2">
        <v>0.25</v>
      </c>
      <c r="P569" s="1">
        <v>4207.0600000000004</v>
      </c>
      <c r="Q569" t="s">
        <v>74</v>
      </c>
      <c r="R569" t="s">
        <v>53</v>
      </c>
    </row>
    <row r="570" spans="1:18" x14ac:dyDescent="0.3">
      <c r="A570">
        <v>1569</v>
      </c>
      <c r="B570" s="3">
        <v>45565</v>
      </c>
      <c r="C570" s="3">
        <v>45566</v>
      </c>
      <c r="D570" t="s">
        <v>412</v>
      </c>
      <c r="E570" t="s">
        <v>909</v>
      </c>
      <c r="F570" t="s">
        <v>20</v>
      </c>
      <c r="G570" t="s">
        <v>21</v>
      </c>
      <c r="H570" t="s">
        <v>22</v>
      </c>
      <c r="I570" t="s">
        <v>23</v>
      </c>
      <c r="J570" t="s">
        <v>24</v>
      </c>
      <c r="K570" t="s">
        <v>72</v>
      </c>
      <c r="L570" t="s">
        <v>1138</v>
      </c>
      <c r="M570" s="1">
        <v>19131.07</v>
      </c>
      <c r="N570">
        <v>10</v>
      </c>
      <c r="O570" s="2">
        <v>0.05</v>
      </c>
      <c r="P570" s="1">
        <v>5151.1499999999996</v>
      </c>
      <c r="Q570" t="s">
        <v>38</v>
      </c>
      <c r="R570" t="s">
        <v>53</v>
      </c>
    </row>
    <row r="571" spans="1:18" x14ac:dyDescent="0.3">
      <c r="A571">
        <v>1570</v>
      </c>
      <c r="B571" s="3">
        <v>45676</v>
      </c>
      <c r="C571" s="3">
        <v>45680</v>
      </c>
      <c r="D571" t="s">
        <v>988</v>
      </c>
      <c r="E571" t="s">
        <v>1139</v>
      </c>
      <c r="F571" t="s">
        <v>31</v>
      </c>
      <c r="G571" t="s">
        <v>70</v>
      </c>
      <c r="H571" t="s">
        <v>71</v>
      </c>
      <c r="I571" t="s">
        <v>58</v>
      </c>
      <c r="J571" t="s">
        <v>35</v>
      </c>
      <c r="K571" t="s">
        <v>129</v>
      </c>
      <c r="L571" t="s">
        <v>1140</v>
      </c>
      <c r="M571" s="1">
        <v>15984.33</v>
      </c>
      <c r="N571">
        <v>8</v>
      </c>
      <c r="O571" s="2">
        <v>0.2</v>
      </c>
      <c r="P571" s="1">
        <v>3309.01</v>
      </c>
      <c r="Q571" t="s">
        <v>74</v>
      </c>
      <c r="R571" t="s">
        <v>120</v>
      </c>
    </row>
    <row r="572" spans="1:18" x14ac:dyDescent="0.3">
      <c r="A572">
        <v>1571</v>
      </c>
      <c r="B572" s="3">
        <v>45976</v>
      </c>
      <c r="C572" s="3">
        <v>45979</v>
      </c>
      <c r="D572" t="s">
        <v>425</v>
      </c>
      <c r="E572" t="s">
        <v>1141</v>
      </c>
      <c r="F572" t="s">
        <v>20</v>
      </c>
      <c r="G572" t="s">
        <v>56</v>
      </c>
      <c r="H572" t="s">
        <v>57</v>
      </c>
      <c r="I572" t="s">
        <v>58</v>
      </c>
      <c r="J572" t="s">
        <v>64</v>
      </c>
      <c r="K572" t="s">
        <v>104</v>
      </c>
      <c r="L572" t="s">
        <v>1142</v>
      </c>
      <c r="M572" s="1">
        <v>20979.73</v>
      </c>
      <c r="N572">
        <v>1</v>
      </c>
      <c r="O572" s="2">
        <v>0.15</v>
      </c>
      <c r="P572" s="1">
        <v>469.35</v>
      </c>
      <c r="Q572" t="s">
        <v>38</v>
      </c>
      <c r="R572" t="s">
        <v>53</v>
      </c>
    </row>
    <row r="573" spans="1:18" x14ac:dyDescent="0.3">
      <c r="A573">
        <v>1572</v>
      </c>
      <c r="B573" s="3">
        <v>45910</v>
      </c>
      <c r="C573" s="3">
        <v>45912</v>
      </c>
      <c r="D573" t="s">
        <v>529</v>
      </c>
      <c r="E573" t="s">
        <v>252</v>
      </c>
      <c r="F573" t="s">
        <v>20</v>
      </c>
      <c r="G573" t="s">
        <v>70</v>
      </c>
      <c r="H573" t="s">
        <v>71</v>
      </c>
      <c r="I573" t="s">
        <v>58</v>
      </c>
      <c r="J573" t="s">
        <v>64</v>
      </c>
      <c r="K573" t="s">
        <v>104</v>
      </c>
      <c r="L573" t="s">
        <v>1143</v>
      </c>
      <c r="M573" s="1">
        <v>54479.86</v>
      </c>
      <c r="N573">
        <v>5</v>
      </c>
      <c r="O573" s="2">
        <v>0</v>
      </c>
      <c r="P573" s="1">
        <v>8271.02</v>
      </c>
      <c r="Q573" t="s">
        <v>74</v>
      </c>
      <c r="R573" t="s">
        <v>120</v>
      </c>
    </row>
    <row r="574" spans="1:18" x14ac:dyDescent="0.3">
      <c r="A574">
        <v>1573</v>
      </c>
      <c r="B574" s="3">
        <v>45630</v>
      </c>
      <c r="C574" s="3">
        <v>45631</v>
      </c>
      <c r="D574" t="s">
        <v>1116</v>
      </c>
      <c r="E574" t="s">
        <v>498</v>
      </c>
      <c r="F574" t="s">
        <v>46</v>
      </c>
      <c r="G574" t="s">
        <v>118</v>
      </c>
      <c r="H574" t="s">
        <v>118</v>
      </c>
      <c r="I574" t="s">
        <v>34</v>
      </c>
      <c r="J574" t="s">
        <v>35</v>
      </c>
      <c r="K574" t="s">
        <v>129</v>
      </c>
      <c r="L574" t="s">
        <v>1144</v>
      </c>
      <c r="M574" s="1">
        <v>51069.79</v>
      </c>
      <c r="N574">
        <v>3</v>
      </c>
      <c r="O574" s="2">
        <v>0.05</v>
      </c>
      <c r="P574" s="1">
        <v>13079.92</v>
      </c>
      <c r="Q574" t="s">
        <v>115</v>
      </c>
      <c r="R574" t="s">
        <v>28</v>
      </c>
    </row>
    <row r="575" spans="1:18" x14ac:dyDescent="0.3">
      <c r="A575">
        <v>1574</v>
      </c>
      <c r="B575" s="3">
        <v>45752</v>
      </c>
      <c r="C575" s="3">
        <v>45758</v>
      </c>
      <c r="D575" t="s">
        <v>846</v>
      </c>
      <c r="E575" t="s">
        <v>146</v>
      </c>
      <c r="F575" t="s">
        <v>31</v>
      </c>
      <c r="G575" t="s">
        <v>85</v>
      </c>
      <c r="H575" t="s">
        <v>86</v>
      </c>
      <c r="I575" t="s">
        <v>49</v>
      </c>
      <c r="J575" t="s">
        <v>64</v>
      </c>
      <c r="K575" t="s">
        <v>65</v>
      </c>
      <c r="L575" t="s">
        <v>1013</v>
      </c>
      <c r="M575" s="1">
        <v>52886.05</v>
      </c>
      <c r="N575">
        <v>2</v>
      </c>
      <c r="O575" s="2">
        <v>0.1</v>
      </c>
      <c r="P575" s="1">
        <v>13169.39</v>
      </c>
      <c r="Q575" t="s">
        <v>27</v>
      </c>
      <c r="R575" t="s">
        <v>28</v>
      </c>
    </row>
    <row r="576" spans="1:18" x14ac:dyDescent="0.3">
      <c r="A576">
        <v>1575</v>
      </c>
      <c r="B576" s="3">
        <v>45620</v>
      </c>
      <c r="C576" s="3">
        <v>45622</v>
      </c>
      <c r="D576" t="s">
        <v>1095</v>
      </c>
      <c r="E576" t="s">
        <v>1092</v>
      </c>
      <c r="F576" t="s">
        <v>46</v>
      </c>
      <c r="G576" t="s">
        <v>90</v>
      </c>
      <c r="H576" t="s">
        <v>91</v>
      </c>
      <c r="I576" t="s">
        <v>23</v>
      </c>
      <c r="J576" t="s">
        <v>64</v>
      </c>
      <c r="K576" t="s">
        <v>80</v>
      </c>
      <c r="L576" t="s">
        <v>1145</v>
      </c>
      <c r="M576" s="1">
        <v>36027.440000000002</v>
      </c>
      <c r="N576">
        <v>5</v>
      </c>
      <c r="O576" s="2">
        <v>0</v>
      </c>
      <c r="P576" s="1">
        <v>8232.0300000000007</v>
      </c>
      <c r="Q576" t="s">
        <v>52</v>
      </c>
      <c r="R576" t="s">
        <v>53</v>
      </c>
    </row>
    <row r="577" spans="1:18" x14ac:dyDescent="0.3">
      <c r="A577">
        <v>1576</v>
      </c>
      <c r="B577" s="3">
        <v>45506</v>
      </c>
      <c r="C577" s="3">
        <v>45512</v>
      </c>
      <c r="D577" t="s">
        <v>110</v>
      </c>
      <c r="E577" t="s">
        <v>184</v>
      </c>
      <c r="F577" t="s">
        <v>31</v>
      </c>
      <c r="G577" t="s">
        <v>32</v>
      </c>
      <c r="H577" t="s">
        <v>33</v>
      </c>
      <c r="I577" t="s">
        <v>34</v>
      </c>
      <c r="J577" t="s">
        <v>24</v>
      </c>
      <c r="K577" t="s">
        <v>25</v>
      </c>
      <c r="L577" t="s">
        <v>1146</v>
      </c>
      <c r="M577" s="1">
        <v>616.37</v>
      </c>
      <c r="N577">
        <v>5</v>
      </c>
      <c r="O577" s="2">
        <v>0.25</v>
      </c>
      <c r="P577" s="1">
        <v>25.95</v>
      </c>
      <c r="Q577" t="s">
        <v>115</v>
      </c>
      <c r="R577" t="s">
        <v>28</v>
      </c>
    </row>
    <row r="578" spans="1:18" x14ac:dyDescent="0.3">
      <c r="A578">
        <v>1577</v>
      </c>
      <c r="B578" s="3">
        <v>45518</v>
      </c>
      <c r="C578" s="3">
        <v>45520</v>
      </c>
      <c r="D578" t="s">
        <v>787</v>
      </c>
      <c r="E578" t="s">
        <v>542</v>
      </c>
      <c r="F578" t="s">
        <v>46</v>
      </c>
      <c r="G578" t="s">
        <v>107</v>
      </c>
      <c r="H578" t="s">
        <v>108</v>
      </c>
      <c r="I578" t="s">
        <v>34</v>
      </c>
      <c r="J578" t="s">
        <v>64</v>
      </c>
      <c r="K578" t="s">
        <v>80</v>
      </c>
      <c r="L578" t="s">
        <v>1147</v>
      </c>
      <c r="M578" s="1">
        <v>25315.81</v>
      </c>
      <c r="N578">
        <v>7</v>
      </c>
      <c r="O578" s="2">
        <v>0.2</v>
      </c>
      <c r="P578" s="1">
        <v>1601.07</v>
      </c>
      <c r="Q578" t="s">
        <v>82</v>
      </c>
      <c r="R578" t="s">
        <v>120</v>
      </c>
    </row>
    <row r="579" spans="1:18" x14ac:dyDescent="0.3">
      <c r="A579">
        <v>1578</v>
      </c>
      <c r="B579" s="3">
        <v>45911</v>
      </c>
      <c r="C579" s="3">
        <v>45915</v>
      </c>
      <c r="D579" t="s">
        <v>145</v>
      </c>
      <c r="E579" t="s">
        <v>326</v>
      </c>
      <c r="F579" t="s">
        <v>20</v>
      </c>
      <c r="G579" t="s">
        <v>56</v>
      </c>
      <c r="H579" t="s">
        <v>57</v>
      </c>
      <c r="I579" t="s">
        <v>58</v>
      </c>
      <c r="J579" t="s">
        <v>24</v>
      </c>
      <c r="K579" t="s">
        <v>72</v>
      </c>
      <c r="L579" t="s">
        <v>1148</v>
      </c>
      <c r="M579" s="1">
        <v>9503.7000000000007</v>
      </c>
      <c r="N579">
        <v>5</v>
      </c>
      <c r="O579" s="2">
        <v>0.15</v>
      </c>
      <c r="P579" s="1">
        <v>992.75</v>
      </c>
      <c r="Q579" t="s">
        <v>52</v>
      </c>
      <c r="R579" t="s">
        <v>120</v>
      </c>
    </row>
    <row r="580" spans="1:18" x14ac:dyDescent="0.3">
      <c r="A580">
        <v>1579</v>
      </c>
      <c r="B580" s="3">
        <v>45752</v>
      </c>
      <c r="C580" s="3">
        <v>45756</v>
      </c>
      <c r="D580" t="s">
        <v>383</v>
      </c>
      <c r="E580" t="s">
        <v>1032</v>
      </c>
      <c r="F580" t="s">
        <v>20</v>
      </c>
      <c r="G580" t="s">
        <v>85</v>
      </c>
      <c r="H580" t="s">
        <v>86</v>
      </c>
      <c r="I580" t="s">
        <v>49</v>
      </c>
      <c r="J580" t="s">
        <v>24</v>
      </c>
      <c r="K580" t="s">
        <v>224</v>
      </c>
      <c r="L580" t="s">
        <v>1149</v>
      </c>
      <c r="M580" s="1">
        <v>83861.600000000006</v>
      </c>
      <c r="N580">
        <v>2</v>
      </c>
      <c r="O580" s="2">
        <v>0</v>
      </c>
      <c r="P580" s="1">
        <v>13152.87</v>
      </c>
      <c r="Q580" t="s">
        <v>115</v>
      </c>
      <c r="R580" t="s">
        <v>28</v>
      </c>
    </row>
    <row r="581" spans="1:18" x14ac:dyDescent="0.3">
      <c r="A581">
        <v>1580</v>
      </c>
      <c r="B581" s="3">
        <v>45718</v>
      </c>
      <c r="C581" s="3">
        <v>45722</v>
      </c>
      <c r="D581" t="s">
        <v>1150</v>
      </c>
      <c r="E581" t="s">
        <v>76</v>
      </c>
      <c r="F581" t="s">
        <v>46</v>
      </c>
      <c r="G581" t="s">
        <v>102</v>
      </c>
      <c r="H581" t="s">
        <v>103</v>
      </c>
      <c r="I581" t="s">
        <v>58</v>
      </c>
      <c r="J581" t="s">
        <v>64</v>
      </c>
      <c r="K581" t="s">
        <v>104</v>
      </c>
      <c r="L581" t="s">
        <v>1151</v>
      </c>
      <c r="M581" s="1">
        <v>73501.55</v>
      </c>
      <c r="N581">
        <v>6</v>
      </c>
      <c r="O581" s="2">
        <v>0.25</v>
      </c>
      <c r="P581" s="1">
        <v>1975.85</v>
      </c>
      <c r="Q581" t="s">
        <v>61</v>
      </c>
      <c r="R581" t="s">
        <v>120</v>
      </c>
    </row>
    <row r="582" spans="1:18" x14ac:dyDescent="0.3">
      <c r="A582">
        <v>1581</v>
      </c>
      <c r="B582" s="3">
        <v>45598</v>
      </c>
      <c r="C582" s="3">
        <v>45599</v>
      </c>
      <c r="D582" t="s">
        <v>488</v>
      </c>
      <c r="E582" t="s">
        <v>979</v>
      </c>
      <c r="F582" t="s">
        <v>46</v>
      </c>
      <c r="G582" t="s">
        <v>85</v>
      </c>
      <c r="H582" t="s">
        <v>86</v>
      </c>
      <c r="I582" t="s">
        <v>49</v>
      </c>
      <c r="J582" t="s">
        <v>64</v>
      </c>
      <c r="K582" t="s">
        <v>104</v>
      </c>
      <c r="L582" t="s">
        <v>1152</v>
      </c>
      <c r="M582" s="1">
        <v>44972.26</v>
      </c>
      <c r="N582">
        <v>4</v>
      </c>
      <c r="O582" s="2">
        <v>0.05</v>
      </c>
      <c r="P582" s="1">
        <v>10153.620000000001</v>
      </c>
      <c r="Q582" t="s">
        <v>115</v>
      </c>
      <c r="R582" t="s">
        <v>39</v>
      </c>
    </row>
    <row r="583" spans="1:18" x14ac:dyDescent="0.3">
      <c r="A583">
        <v>1582</v>
      </c>
      <c r="B583" s="3">
        <v>45932</v>
      </c>
      <c r="C583" s="3">
        <v>45938</v>
      </c>
      <c r="D583" t="s">
        <v>1153</v>
      </c>
      <c r="E583" t="s">
        <v>1072</v>
      </c>
      <c r="F583" t="s">
        <v>20</v>
      </c>
      <c r="G583" t="s">
        <v>112</v>
      </c>
      <c r="H583" t="s">
        <v>113</v>
      </c>
      <c r="I583" t="s">
        <v>49</v>
      </c>
      <c r="J583" t="s">
        <v>24</v>
      </c>
      <c r="K583" t="s">
        <v>25</v>
      </c>
      <c r="L583" t="s">
        <v>1154</v>
      </c>
      <c r="M583" s="1">
        <v>22113.040000000001</v>
      </c>
      <c r="N583">
        <v>5</v>
      </c>
      <c r="O583" s="2">
        <v>0.15</v>
      </c>
      <c r="P583" s="1">
        <v>4223.68</v>
      </c>
      <c r="Q583" t="s">
        <v>27</v>
      </c>
      <c r="R583" t="s">
        <v>53</v>
      </c>
    </row>
    <row r="584" spans="1:18" x14ac:dyDescent="0.3">
      <c r="A584">
        <v>1583</v>
      </c>
      <c r="B584" s="3">
        <v>45768</v>
      </c>
      <c r="C584" s="3">
        <v>45770</v>
      </c>
      <c r="D584" t="s">
        <v>899</v>
      </c>
      <c r="E584" t="s">
        <v>697</v>
      </c>
      <c r="F584" t="s">
        <v>20</v>
      </c>
      <c r="G584" t="s">
        <v>47</v>
      </c>
      <c r="H584" t="s">
        <v>48</v>
      </c>
      <c r="I584" t="s">
        <v>49</v>
      </c>
      <c r="J584" t="s">
        <v>24</v>
      </c>
      <c r="K584" t="s">
        <v>50</v>
      </c>
      <c r="L584" t="s">
        <v>1155</v>
      </c>
      <c r="M584" s="1">
        <v>4720.8100000000004</v>
      </c>
      <c r="N584">
        <v>6</v>
      </c>
      <c r="O584" s="2">
        <v>0.3</v>
      </c>
      <c r="P584" s="1">
        <v>-42.87</v>
      </c>
      <c r="Q584" t="s">
        <v>82</v>
      </c>
      <c r="R584" t="s">
        <v>39</v>
      </c>
    </row>
    <row r="585" spans="1:18" x14ac:dyDescent="0.3">
      <c r="A585">
        <v>1584</v>
      </c>
      <c r="B585" s="3">
        <v>45874</v>
      </c>
      <c r="C585" s="3">
        <v>45876</v>
      </c>
      <c r="D585" t="s">
        <v>702</v>
      </c>
      <c r="E585" t="s">
        <v>281</v>
      </c>
      <c r="F585" t="s">
        <v>31</v>
      </c>
      <c r="G585" t="s">
        <v>112</v>
      </c>
      <c r="H585" t="s">
        <v>113</v>
      </c>
      <c r="I585" t="s">
        <v>49</v>
      </c>
      <c r="J585" t="s">
        <v>64</v>
      </c>
      <c r="K585" t="s">
        <v>104</v>
      </c>
      <c r="L585" t="s">
        <v>1156</v>
      </c>
      <c r="M585" s="1">
        <v>14751.36</v>
      </c>
      <c r="N585">
        <v>10</v>
      </c>
      <c r="O585" s="2">
        <v>0.1</v>
      </c>
      <c r="P585" s="1">
        <v>1895.85</v>
      </c>
      <c r="Q585" t="s">
        <v>52</v>
      </c>
      <c r="R585" t="s">
        <v>120</v>
      </c>
    </row>
    <row r="586" spans="1:18" x14ac:dyDescent="0.3">
      <c r="A586">
        <v>1585</v>
      </c>
      <c r="B586" s="3">
        <v>45562</v>
      </c>
      <c r="C586" s="3">
        <v>45563</v>
      </c>
      <c r="D586" t="s">
        <v>1157</v>
      </c>
      <c r="E586" t="s">
        <v>328</v>
      </c>
      <c r="F586" t="s">
        <v>46</v>
      </c>
      <c r="G586" t="s">
        <v>95</v>
      </c>
      <c r="H586" t="s">
        <v>22</v>
      </c>
      <c r="I586" t="s">
        <v>23</v>
      </c>
      <c r="J586" t="s">
        <v>24</v>
      </c>
      <c r="K586" t="s">
        <v>72</v>
      </c>
      <c r="L586" t="s">
        <v>1158</v>
      </c>
      <c r="M586" s="1">
        <v>17363.66</v>
      </c>
      <c r="N586">
        <v>10</v>
      </c>
      <c r="O586" s="2">
        <v>0.2</v>
      </c>
      <c r="P586" s="1">
        <v>856.08</v>
      </c>
      <c r="Q586" t="s">
        <v>74</v>
      </c>
      <c r="R586" t="s">
        <v>28</v>
      </c>
    </row>
    <row r="587" spans="1:18" x14ac:dyDescent="0.3">
      <c r="A587">
        <v>1586</v>
      </c>
      <c r="B587" s="3">
        <v>45957</v>
      </c>
      <c r="C587" s="3">
        <v>45961</v>
      </c>
      <c r="D587" t="s">
        <v>220</v>
      </c>
      <c r="E587" t="s">
        <v>138</v>
      </c>
      <c r="F587" t="s">
        <v>20</v>
      </c>
      <c r="G587" t="s">
        <v>90</v>
      </c>
      <c r="H587" t="s">
        <v>91</v>
      </c>
      <c r="I587" t="s">
        <v>23</v>
      </c>
      <c r="J587" t="s">
        <v>24</v>
      </c>
      <c r="K587" t="s">
        <v>212</v>
      </c>
      <c r="L587" t="s">
        <v>1159</v>
      </c>
      <c r="M587" s="1">
        <v>5173.24</v>
      </c>
      <c r="N587">
        <v>9</v>
      </c>
      <c r="O587" s="2">
        <v>0.05</v>
      </c>
      <c r="P587" s="1">
        <v>1298.81</v>
      </c>
      <c r="Q587" t="s">
        <v>82</v>
      </c>
      <c r="R587" t="s">
        <v>53</v>
      </c>
    </row>
    <row r="588" spans="1:18" x14ac:dyDescent="0.3">
      <c r="A588">
        <v>1587</v>
      </c>
      <c r="B588" s="3">
        <v>45707</v>
      </c>
      <c r="C588" s="3">
        <v>45710</v>
      </c>
      <c r="D588" t="s">
        <v>829</v>
      </c>
      <c r="E588" t="s">
        <v>468</v>
      </c>
      <c r="F588" t="s">
        <v>31</v>
      </c>
      <c r="G588" t="s">
        <v>90</v>
      </c>
      <c r="H588" t="s">
        <v>91</v>
      </c>
      <c r="I588" t="s">
        <v>23</v>
      </c>
      <c r="J588" t="s">
        <v>24</v>
      </c>
      <c r="K588" t="s">
        <v>212</v>
      </c>
      <c r="L588" t="s">
        <v>1160</v>
      </c>
      <c r="M588" s="1">
        <v>9934.84</v>
      </c>
      <c r="N588">
        <v>3</v>
      </c>
      <c r="O588" s="2">
        <v>0.05</v>
      </c>
      <c r="P588" s="1">
        <v>1528.91</v>
      </c>
      <c r="Q588" t="s">
        <v>27</v>
      </c>
      <c r="R588" t="s">
        <v>28</v>
      </c>
    </row>
    <row r="589" spans="1:18" x14ac:dyDescent="0.3">
      <c r="A589">
        <v>1588</v>
      </c>
      <c r="B589" s="3">
        <v>45652</v>
      </c>
      <c r="C589" s="3">
        <v>45654</v>
      </c>
      <c r="D589" t="s">
        <v>391</v>
      </c>
      <c r="E589" t="s">
        <v>1053</v>
      </c>
      <c r="F589" t="s">
        <v>20</v>
      </c>
      <c r="G589" t="s">
        <v>107</v>
      </c>
      <c r="H589" t="s">
        <v>108</v>
      </c>
      <c r="I589" t="s">
        <v>34</v>
      </c>
      <c r="J589" t="s">
        <v>35</v>
      </c>
      <c r="K589" t="s">
        <v>36</v>
      </c>
      <c r="L589" t="s">
        <v>1161</v>
      </c>
      <c r="M589" s="1">
        <v>13666.3</v>
      </c>
      <c r="N589">
        <v>6</v>
      </c>
      <c r="O589" s="2">
        <v>0.05</v>
      </c>
      <c r="P589" s="1">
        <v>1195.05</v>
      </c>
      <c r="Q589" t="s">
        <v>115</v>
      </c>
      <c r="R589" t="s">
        <v>120</v>
      </c>
    </row>
    <row r="590" spans="1:18" x14ac:dyDescent="0.3">
      <c r="A590">
        <v>1589</v>
      </c>
      <c r="B590" s="3">
        <v>45361</v>
      </c>
      <c r="C590" s="3">
        <v>45363</v>
      </c>
      <c r="D590" t="s">
        <v>586</v>
      </c>
      <c r="E590" t="s">
        <v>1162</v>
      </c>
      <c r="F590" t="s">
        <v>20</v>
      </c>
      <c r="G590" t="s">
        <v>47</v>
      </c>
      <c r="H590" t="s">
        <v>48</v>
      </c>
      <c r="I590" t="s">
        <v>49</v>
      </c>
      <c r="J590" t="s">
        <v>24</v>
      </c>
      <c r="K590" t="s">
        <v>72</v>
      </c>
      <c r="L590" t="s">
        <v>1163</v>
      </c>
      <c r="M590" s="1">
        <v>63934.080000000002</v>
      </c>
      <c r="N590">
        <v>9</v>
      </c>
      <c r="O590" s="2">
        <v>0.05</v>
      </c>
      <c r="P590" s="1">
        <v>9489.01</v>
      </c>
      <c r="Q590" t="s">
        <v>38</v>
      </c>
      <c r="R590" t="s">
        <v>28</v>
      </c>
    </row>
    <row r="591" spans="1:18" x14ac:dyDescent="0.3">
      <c r="A591">
        <v>1590</v>
      </c>
      <c r="B591" s="3">
        <v>45761</v>
      </c>
      <c r="C591" s="3">
        <v>45767</v>
      </c>
      <c r="D591" t="s">
        <v>1150</v>
      </c>
      <c r="E591" t="s">
        <v>301</v>
      </c>
      <c r="F591" t="s">
        <v>46</v>
      </c>
      <c r="G591" t="s">
        <v>90</v>
      </c>
      <c r="H591" t="s">
        <v>91</v>
      </c>
      <c r="I591" t="s">
        <v>23</v>
      </c>
      <c r="J591" t="s">
        <v>64</v>
      </c>
      <c r="K591" t="s">
        <v>104</v>
      </c>
      <c r="L591" t="s">
        <v>1164</v>
      </c>
      <c r="M591" s="1">
        <v>34819.32</v>
      </c>
      <c r="N591">
        <v>4</v>
      </c>
      <c r="O591" s="2">
        <v>0.25</v>
      </c>
      <c r="P591" s="1">
        <v>1916.31</v>
      </c>
      <c r="Q591" t="s">
        <v>67</v>
      </c>
      <c r="R591" t="s">
        <v>28</v>
      </c>
    </row>
    <row r="592" spans="1:18" x14ac:dyDescent="0.3">
      <c r="A592">
        <v>1591</v>
      </c>
      <c r="B592" s="3">
        <v>45791</v>
      </c>
      <c r="C592" s="3">
        <v>45795</v>
      </c>
      <c r="D592" t="s">
        <v>1165</v>
      </c>
      <c r="E592" t="s">
        <v>465</v>
      </c>
      <c r="F592" t="s">
        <v>20</v>
      </c>
      <c r="G592" t="s">
        <v>70</v>
      </c>
      <c r="H592" t="s">
        <v>71</v>
      </c>
      <c r="I592" t="s">
        <v>58</v>
      </c>
      <c r="J592" t="s">
        <v>64</v>
      </c>
      <c r="K592" t="s">
        <v>188</v>
      </c>
      <c r="L592" t="s">
        <v>1166</v>
      </c>
      <c r="M592" s="1">
        <v>6803.19</v>
      </c>
      <c r="N592">
        <v>7</v>
      </c>
      <c r="O592" s="2">
        <v>0.25</v>
      </c>
      <c r="P592" s="1">
        <v>391.32</v>
      </c>
      <c r="Q592" t="s">
        <v>74</v>
      </c>
      <c r="R592" t="s">
        <v>120</v>
      </c>
    </row>
    <row r="593" spans="1:18" x14ac:dyDescent="0.3">
      <c r="A593">
        <v>1592</v>
      </c>
      <c r="B593" s="3">
        <v>45796</v>
      </c>
      <c r="C593" s="3">
        <v>45797</v>
      </c>
      <c r="D593" t="s">
        <v>565</v>
      </c>
      <c r="E593" t="s">
        <v>1167</v>
      </c>
      <c r="F593" t="s">
        <v>31</v>
      </c>
      <c r="G593" t="s">
        <v>32</v>
      </c>
      <c r="H593" t="s">
        <v>33</v>
      </c>
      <c r="I593" t="s">
        <v>34</v>
      </c>
      <c r="J593" t="s">
        <v>24</v>
      </c>
      <c r="K593" t="s">
        <v>25</v>
      </c>
      <c r="L593" t="s">
        <v>1168</v>
      </c>
      <c r="M593" s="1">
        <v>70193.87</v>
      </c>
      <c r="N593">
        <v>7</v>
      </c>
      <c r="O593" s="2">
        <v>0</v>
      </c>
      <c r="P593" s="1">
        <v>21027.64</v>
      </c>
      <c r="Q593" t="s">
        <v>27</v>
      </c>
      <c r="R593" t="s">
        <v>39</v>
      </c>
    </row>
    <row r="594" spans="1:18" x14ac:dyDescent="0.3">
      <c r="A594">
        <v>1593</v>
      </c>
      <c r="B594" s="3">
        <v>45654</v>
      </c>
      <c r="C594" s="3">
        <v>45659</v>
      </c>
      <c r="D594" t="s">
        <v>190</v>
      </c>
      <c r="E594" t="s">
        <v>98</v>
      </c>
      <c r="F594" t="s">
        <v>31</v>
      </c>
      <c r="G594" t="s">
        <v>112</v>
      </c>
      <c r="H594" t="s">
        <v>113</v>
      </c>
      <c r="I594" t="s">
        <v>49</v>
      </c>
      <c r="J594" t="s">
        <v>64</v>
      </c>
      <c r="K594" t="s">
        <v>80</v>
      </c>
      <c r="L594" t="s">
        <v>1169</v>
      </c>
      <c r="M594" s="1">
        <v>65440.12</v>
      </c>
      <c r="N594">
        <v>2</v>
      </c>
      <c r="O594" s="2">
        <v>0.05</v>
      </c>
      <c r="P594" s="1">
        <v>8264.8799999999992</v>
      </c>
      <c r="Q594" t="s">
        <v>67</v>
      </c>
      <c r="R594" t="s">
        <v>39</v>
      </c>
    </row>
    <row r="595" spans="1:18" x14ac:dyDescent="0.3">
      <c r="A595">
        <v>1594</v>
      </c>
      <c r="B595" s="3">
        <v>45374</v>
      </c>
      <c r="C595" s="3">
        <v>45378</v>
      </c>
      <c r="D595" t="s">
        <v>333</v>
      </c>
      <c r="E595" t="s">
        <v>1170</v>
      </c>
      <c r="F595" t="s">
        <v>20</v>
      </c>
      <c r="G595" t="s">
        <v>90</v>
      </c>
      <c r="H595" t="s">
        <v>91</v>
      </c>
      <c r="I595" t="s">
        <v>23</v>
      </c>
      <c r="J595" t="s">
        <v>64</v>
      </c>
      <c r="K595" t="s">
        <v>157</v>
      </c>
      <c r="L595" t="s">
        <v>1171</v>
      </c>
      <c r="M595" s="1">
        <v>75564.429999999993</v>
      </c>
      <c r="N595">
        <v>1</v>
      </c>
      <c r="O595" s="2">
        <v>0.3</v>
      </c>
      <c r="P595" s="1">
        <v>-317.05</v>
      </c>
      <c r="Q595" t="s">
        <v>115</v>
      </c>
      <c r="R595" t="s">
        <v>39</v>
      </c>
    </row>
    <row r="596" spans="1:18" x14ac:dyDescent="0.3">
      <c r="A596">
        <v>1595</v>
      </c>
      <c r="B596" s="3">
        <v>45367</v>
      </c>
      <c r="C596" s="3">
        <v>45372</v>
      </c>
      <c r="D596" t="s">
        <v>780</v>
      </c>
      <c r="E596" t="s">
        <v>803</v>
      </c>
      <c r="F596" t="s">
        <v>20</v>
      </c>
      <c r="G596" t="s">
        <v>118</v>
      </c>
      <c r="H596" t="s">
        <v>118</v>
      </c>
      <c r="I596" t="s">
        <v>34</v>
      </c>
      <c r="J596" t="s">
        <v>64</v>
      </c>
      <c r="K596" t="s">
        <v>188</v>
      </c>
      <c r="L596" t="s">
        <v>1172</v>
      </c>
      <c r="M596" s="1">
        <v>24483.65</v>
      </c>
      <c r="N596">
        <v>9</v>
      </c>
      <c r="O596" s="2">
        <v>0</v>
      </c>
      <c r="P596" s="1">
        <v>6366.26</v>
      </c>
      <c r="Q596" t="s">
        <v>67</v>
      </c>
      <c r="R596" t="s">
        <v>120</v>
      </c>
    </row>
    <row r="597" spans="1:18" x14ac:dyDescent="0.3">
      <c r="A597">
        <v>1596</v>
      </c>
      <c r="B597" s="3">
        <v>45471</v>
      </c>
      <c r="C597" s="3">
        <v>45474</v>
      </c>
      <c r="D597" t="s">
        <v>798</v>
      </c>
      <c r="E597" t="s">
        <v>30</v>
      </c>
      <c r="F597" t="s">
        <v>20</v>
      </c>
      <c r="G597" t="s">
        <v>21</v>
      </c>
      <c r="H597" t="s">
        <v>22</v>
      </c>
      <c r="I597" t="s">
        <v>23</v>
      </c>
      <c r="J597" t="s">
        <v>64</v>
      </c>
      <c r="K597" t="s">
        <v>104</v>
      </c>
      <c r="L597" t="s">
        <v>1173</v>
      </c>
      <c r="M597" s="1">
        <v>19443.75</v>
      </c>
      <c r="N597">
        <v>6</v>
      </c>
      <c r="O597" s="2">
        <v>0.25</v>
      </c>
      <c r="P597" s="1">
        <v>956.7</v>
      </c>
      <c r="Q597" t="s">
        <v>61</v>
      </c>
      <c r="R597" t="s">
        <v>28</v>
      </c>
    </row>
    <row r="598" spans="1:18" x14ac:dyDescent="0.3">
      <c r="A598">
        <v>1597</v>
      </c>
      <c r="B598" s="3">
        <v>45330</v>
      </c>
      <c r="C598" s="3">
        <v>45335</v>
      </c>
      <c r="D598" t="s">
        <v>1083</v>
      </c>
      <c r="E598" t="s">
        <v>479</v>
      </c>
      <c r="F598" t="s">
        <v>20</v>
      </c>
      <c r="G598" t="s">
        <v>56</v>
      </c>
      <c r="H598" t="s">
        <v>57</v>
      </c>
      <c r="I598" t="s">
        <v>58</v>
      </c>
      <c r="J598" t="s">
        <v>35</v>
      </c>
      <c r="K598" t="s">
        <v>129</v>
      </c>
      <c r="L598" t="s">
        <v>1174</v>
      </c>
      <c r="M598" s="1">
        <v>19657.53</v>
      </c>
      <c r="N598">
        <v>10</v>
      </c>
      <c r="O598" s="2">
        <v>0.05</v>
      </c>
      <c r="P598" s="1">
        <v>5461.34</v>
      </c>
      <c r="Q598" t="s">
        <v>82</v>
      </c>
      <c r="R598" t="s">
        <v>120</v>
      </c>
    </row>
    <row r="599" spans="1:18" x14ac:dyDescent="0.3">
      <c r="A599">
        <v>1598</v>
      </c>
      <c r="B599" s="3">
        <v>45934</v>
      </c>
      <c r="C599" s="3">
        <v>45935</v>
      </c>
      <c r="D599" t="s">
        <v>572</v>
      </c>
      <c r="E599" t="s">
        <v>1175</v>
      </c>
      <c r="F599" t="s">
        <v>20</v>
      </c>
      <c r="G599" t="s">
        <v>70</v>
      </c>
      <c r="H599" t="s">
        <v>71</v>
      </c>
      <c r="I599" t="s">
        <v>58</v>
      </c>
      <c r="J599" t="s">
        <v>64</v>
      </c>
      <c r="K599" t="s">
        <v>80</v>
      </c>
      <c r="L599" t="s">
        <v>1176</v>
      </c>
      <c r="M599" s="1">
        <v>3947.54</v>
      </c>
      <c r="N599">
        <v>9</v>
      </c>
      <c r="O599" s="2">
        <v>0.25</v>
      </c>
      <c r="P599" s="1">
        <v>660.5</v>
      </c>
      <c r="Q599" t="s">
        <v>67</v>
      </c>
      <c r="R599" t="s">
        <v>120</v>
      </c>
    </row>
    <row r="600" spans="1:18" x14ac:dyDescent="0.3">
      <c r="A600">
        <v>1599</v>
      </c>
      <c r="B600" s="3">
        <v>45492</v>
      </c>
      <c r="C600" s="3">
        <v>45498</v>
      </c>
      <c r="D600" t="s">
        <v>142</v>
      </c>
      <c r="E600" t="s">
        <v>268</v>
      </c>
      <c r="F600" t="s">
        <v>20</v>
      </c>
      <c r="G600" t="s">
        <v>90</v>
      </c>
      <c r="H600" t="s">
        <v>91</v>
      </c>
      <c r="I600" t="s">
        <v>23</v>
      </c>
      <c r="J600" t="s">
        <v>64</v>
      </c>
      <c r="K600" t="s">
        <v>80</v>
      </c>
      <c r="L600" t="s">
        <v>1177</v>
      </c>
      <c r="M600" s="1">
        <v>23804.32</v>
      </c>
      <c r="N600">
        <v>5</v>
      </c>
      <c r="O600" s="2">
        <v>0.1</v>
      </c>
      <c r="P600" s="1">
        <v>1644.18</v>
      </c>
      <c r="Q600" t="s">
        <v>52</v>
      </c>
      <c r="R600" t="s">
        <v>28</v>
      </c>
    </row>
    <row r="601" spans="1:18" x14ac:dyDescent="0.3">
      <c r="A601">
        <v>1600</v>
      </c>
      <c r="B601" s="3">
        <v>45876</v>
      </c>
      <c r="C601" s="3">
        <v>45878</v>
      </c>
      <c r="D601" t="s">
        <v>464</v>
      </c>
      <c r="E601" t="s">
        <v>1178</v>
      </c>
      <c r="F601" t="s">
        <v>46</v>
      </c>
      <c r="G601" t="s">
        <v>70</v>
      </c>
      <c r="H601" t="s">
        <v>71</v>
      </c>
      <c r="I601" t="s">
        <v>58</v>
      </c>
      <c r="J601" t="s">
        <v>24</v>
      </c>
      <c r="K601" t="s">
        <v>224</v>
      </c>
      <c r="L601" t="s">
        <v>1179</v>
      </c>
      <c r="M601" s="1">
        <v>10678.76</v>
      </c>
      <c r="N601">
        <v>3</v>
      </c>
      <c r="O601" s="2">
        <v>0.3</v>
      </c>
      <c r="P601" s="1">
        <v>450.78</v>
      </c>
      <c r="Q601" t="s">
        <v>61</v>
      </c>
      <c r="R601" t="s">
        <v>28</v>
      </c>
    </row>
    <row r="602" spans="1:18" x14ac:dyDescent="0.3">
      <c r="A602">
        <v>1601</v>
      </c>
      <c r="B602" s="3">
        <v>45933</v>
      </c>
      <c r="C602" s="3">
        <v>45934</v>
      </c>
      <c r="D602" t="s">
        <v>500</v>
      </c>
      <c r="E602" t="s">
        <v>1180</v>
      </c>
      <c r="F602" t="s">
        <v>20</v>
      </c>
      <c r="G602" t="s">
        <v>32</v>
      </c>
      <c r="H602" t="s">
        <v>33</v>
      </c>
      <c r="I602" t="s">
        <v>34</v>
      </c>
      <c r="J602" t="s">
        <v>24</v>
      </c>
      <c r="K602" t="s">
        <v>224</v>
      </c>
      <c r="L602" t="s">
        <v>738</v>
      </c>
      <c r="M602" s="1">
        <v>29347.52</v>
      </c>
      <c r="N602">
        <v>5</v>
      </c>
      <c r="O602" s="2">
        <v>0.05</v>
      </c>
      <c r="P602" s="1">
        <v>7568.1</v>
      </c>
      <c r="Q602" t="s">
        <v>38</v>
      </c>
      <c r="R602" t="s">
        <v>53</v>
      </c>
    </row>
    <row r="603" spans="1:18" x14ac:dyDescent="0.3">
      <c r="A603">
        <v>1602</v>
      </c>
      <c r="B603" s="3">
        <v>45555</v>
      </c>
      <c r="C603" s="3">
        <v>45558</v>
      </c>
      <c r="D603" t="s">
        <v>870</v>
      </c>
      <c r="E603" t="s">
        <v>252</v>
      </c>
      <c r="F603" t="s">
        <v>31</v>
      </c>
      <c r="G603" t="s">
        <v>32</v>
      </c>
      <c r="H603" t="s">
        <v>33</v>
      </c>
      <c r="I603" t="s">
        <v>34</v>
      </c>
      <c r="J603" t="s">
        <v>24</v>
      </c>
      <c r="K603" t="s">
        <v>25</v>
      </c>
      <c r="L603" t="s">
        <v>1181</v>
      </c>
      <c r="M603" s="1">
        <v>11633.69</v>
      </c>
      <c r="N603">
        <v>7</v>
      </c>
      <c r="O603" s="2">
        <v>0.05</v>
      </c>
      <c r="P603" s="1">
        <v>3135.72</v>
      </c>
      <c r="Q603" t="s">
        <v>61</v>
      </c>
      <c r="R603" t="s">
        <v>120</v>
      </c>
    </row>
    <row r="604" spans="1:18" x14ac:dyDescent="0.3">
      <c r="A604">
        <v>1603</v>
      </c>
      <c r="B604" s="3">
        <v>45707</v>
      </c>
      <c r="C604" s="3">
        <v>45712</v>
      </c>
      <c r="D604" t="s">
        <v>1182</v>
      </c>
      <c r="E604" t="s">
        <v>757</v>
      </c>
      <c r="F604" t="s">
        <v>31</v>
      </c>
      <c r="G604" t="s">
        <v>47</v>
      </c>
      <c r="H604" t="s">
        <v>48</v>
      </c>
      <c r="I604" t="s">
        <v>49</v>
      </c>
      <c r="J604" t="s">
        <v>24</v>
      </c>
      <c r="K604" t="s">
        <v>72</v>
      </c>
      <c r="L604" t="s">
        <v>1183</v>
      </c>
      <c r="M604" s="1">
        <v>48823.66</v>
      </c>
      <c r="N604">
        <v>8</v>
      </c>
      <c r="O604" s="2">
        <v>0.25</v>
      </c>
      <c r="P604" s="1">
        <v>2741.56</v>
      </c>
      <c r="Q604" t="s">
        <v>27</v>
      </c>
      <c r="R604" t="s">
        <v>120</v>
      </c>
    </row>
    <row r="605" spans="1:18" x14ac:dyDescent="0.3">
      <c r="A605">
        <v>1604</v>
      </c>
      <c r="B605" s="3">
        <v>45992</v>
      </c>
      <c r="C605" s="3">
        <v>45997</v>
      </c>
      <c r="D605" t="s">
        <v>391</v>
      </c>
      <c r="E605" t="s">
        <v>202</v>
      </c>
      <c r="F605" t="s">
        <v>20</v>
      </c>
      <c r="G605" t="s">
        <v>32</v>
      </c>
      <c r="H605" t="s">
        <v>33</v>
      </c>
      <c r="I605" t="s">
        <v>34</v>
      </c>
      <c r="J605" t="s">
        <v>24</v>
      </c>
      <c r="K605" t="s">
        <v>212</v>
      </c>
      <c r="L605" t="s">
        <v>1184</v>
      </c>
      <c r="M605" s="1">
        <v>81454.64</v>
      </c>
      <c r="N605">
        <v>8</v>
      </c>
      <c r="O605" s="2">
        <v>0.2</v>
      </c>
      <c r="P605" s="1">
        <v>7222.74</v>
      </c>
      <c r="Q605" t="s">
        <v>67</v>
      </c>
      <c r="R605" t="s">
        <v>39</v>
      </c>
    </row>
    <row r="606" spans="1:18" x14ac:dyDescent="0.3">
      <c r="A606">
        <v>1605</v>
      </c>
      <c r="B606" s="3">
        <v>45551</v>
      </c>
      <c r="C606" s="3">
        <v>45557</v>
      </c>
      <c r="D606" t="s">
        <v>558</v>
      </c>
      <c r="E606" t="s">
        <v>328</v>
      </c>
      <c r="F606" t="s">
        <v>31</v>
      </c>
      <c r="G606" t="s">
        <v>47</v>
      </c>
      <c r="H606" t="s">
        <v>48</v>
      </c>
      <c r="I606" t="s">
        <v>49</v>
      </c>
      <c r="J606" t="s">
        <v>35</v>
      </c>
      <c r="K606" t="s">
        <v>36</v>
      </c>
      <c r="L606" t="s">
        <v>1185</v>
      </c>
      <c r="M606" s="1">
        <v>12396.45</v>
      </c>
      <c r="N606">
        <v>7</v>
      </c>
      <c r="O606" s="2">
        <v>0.25</v>
      </c>
      <c r="P606" s="1">
        <v>1287.75</v>
      </c>
      <c r="Q606" t="s">
        <v>38</v>
      </c>
      <c r="R606" t="s">
        <v>53</v>
      </c>
    </row>
    <row r="607" spans="1:18" x14ac:dyDescent="0.3">
      <c r="A607">
        <v>1606</v>
      </c>
      <c r="B607" s="3">
        <v>45785</v>
      </c>
      <c r="C607" s="3">
        <v>45790</v>
      </c>
      <c r="D607" t="s">
        <v>826</v>
      </c>
      <c r="E607" t="s">
        <v>229</v>
      </c>
      <c r="F607" t="s">
        <v>46</v>
      </c>
      <c r="G607" t="s">
        <v>85</v>
      </c>
      <c r="H607" t="s">
        <v>86</v>
      </c>
      <c r="I607" t="s">
        <v>49</v>
      </c>
      <c r="J607" t="s">
        <v>35</v>
      </c>
      <c r="K607" t="s">
        <v>129</v>
      </c>
      <c r="L607" t="s">
        <v>1186</v>
      </c>
      <c r="M607" s="1">
        <v>34282.269999999997</v>
      </c>
      <c r="N607">
        <v>5</v>
      </c>
      <c r="O607" s="2">
        <v>0.2</v>
      </c>
      <c r="P607" s="1">
        <v>3832.76</v>
      </c>
      <c r="Q607" t="s">
        <v>38</v>
      </c>
      <c r="R607" t="s">
        <v>53</v>
      </c>
    </row>
    <row r="608" spans="1:18" x14ac:dyDescent="0.3">
      <c r="A608">
        <v>1607</v>
      </c>
      <c r="B608" s="3">
        <v>45755</v>
      </c>
      <c r="C608" s="3">
        <v>45760</v>
      </c>
      <c r="D608" t="s">
        <v>418</v>
      </c>
      <c r="E608" t="s">
        <v>1187</v>
      </c>
      <c r="F608" t="s">
        <v>20</v>
      </c>
      <c r="G608" t="s">
        <v>70</v>
      </c>
      <c r="H608" t="s">
        <v>71</v>
      </c>
      <c r="I608" t="s">
        <v>58</v>
      </c>
      <c r="J608" t="s">
        <v>64</v>
      </c>
      <c r="K608" t="s">
        <v>104</v>
      </c>
      <c r="L608" t="s">
        <v>1188</v>
      </c>
      <c r="M608" s="1">
        <v>71215.44</v>
      </c>
      <c r="N608">
        <v>2</v>
      </c>
      <c r="O608" s="2">
        <v>0.15</v>
      </c>
      <c r="P608" s="1">
        <v>5792.43</v>
      </c>
      <c r="Q608" t="s">
        <v>67</v>
      </c>
      <c r="R608" t="s">
        <v>39</v>
      </c>
    </row>
    <row r="609" spans="1:18" x14ac:dyDescent="0.3">
      <c r="A609">
        <v>1608</v>
      </c>
      <c r="B609" s="3">
        <v>45295</v>
      </c>
      <c r="C609" s="3">
        <v>45297</v>
      </c>
      <c r="D609" t="s">
        <v>666</v>
      </c>
      <c r="E609" t="s">
        <v>1189</v>
      </c>
      <c r="F609" t="s">
        <v>20</v>
      </c>
      <c r="G609" t="s">
        <v>95</v>
      </c>
      <c r="H609" t="s">
        <v>22</v>
      </c>
      <c r="I609" t="s">
        <v>23</v>
      </c>
      <c r="J609" t="s">
        <v>64</v>
      </c>
      <c r="K609" t="s">
        <v>188</v>
      </c>
      <c r="L609" t="s">
        <v>1190</v>
      </c>
      <c r="M609" s="1">
        <v>83263.56</v>
      </c>
      <c r="N609">
        <v>5</v>
      </c>
      <c r="O609" s="2">
        <v>0.05</v>
      </c>
      <c r="P609" s="1">
        <v>7580.73</v>
      </c>
      <c r="Q609" t="s">
        <v>67</v>
      </c>
      <c r="R609" t="s">
        <v>120</v>
      </c>
    </row>
    <row r="610" spans="1:18" x14ac:dyDescent="0.3">
      <c r="A610">
        <v>1609</v>
      </c>
      <c r="B610" s="3">
        <v>45676</v>
      </c>
      <c r="C610" s="3">
        <v>45680</v>
      </c>
      <c r="D610" t="s">
        <v>234</v>
      </c>
      <c r="E610" t="s">
        <v>682</v>
      </c>
      <c r="F610" t="s">
        <v>20</v>
      </c>
      <c r="G610" t="s">
        <v>112</v>
      </c>
      <c r="H610" t="s">
        <v>113</v>
      </c>
      <c r="I610" t="s">
        <v>49</v>
      </c>
      <c r="J610" t="s">
        <v>24</v>
      </c>
      <c r="K610" t="s">
        <v>212</v>
      </c>
      <c r="L610" t="s">
        <v>1191</v>
      </c>
      <c r="M610" s="1">
        <v>72957.149999999994</v>
      </c>
      <c r="N610">
        <v>9</v>
      </c>
      <c r="O610" s="2">
        <v>0.1</v>
      </c>
      <c r="P610" s="1">
        <v>3237.34</v>
      </c>
      <c r="Q610" t="s">
        <v>61</v>
      </c>
      <c r="R610" t="s">
        <v>39</v>
      </c>
    </row>
    <row r="611" spans="1:18" x14ac:dyDescent="0.3">
      <c r="A611">
        <v>1610</v>
      </c>
      <c r="B611" s="3">
        <v>46008</v>
      </c>
      <c r="C611" s="3">
        <v>46011</v>
      </c>
      <c r="D611" t="s">
        <v>243</v>
      </c>
      <c r="E611" t="s">
        <v>265</v>
      </c>
      <c r="F611" t="s">
        <v>20</v>
      </c>
      <c r="G611" t="s">
        <v>102</v>
      </c>
      <c r="H611" t="s">
        <v>103</v>
      </c>
      <c r="I611" t="s">
        <v>58</v>
      </c>
      <c r="J611" t="s">
        <v>35</v>
      </c>
      <c r="K611" t="s">
        <v>36</v>
      </c>
      <c r="L611" t="s">
        <v>1192</v>
      </c>
      <c r="M611" s="1">
        <v>60824.92</v>
      </c>
      <c r="N611">
        <v>4</v>
      </c>
      <c r="O611" s="2">
        <v>0.2</v>
      </c>
      <c r="P611" s="1">
        <v>4191.5600000000004</v>
      </c>
      <c r="Q611" t="s">
        <v>61</v>
      </c>
      <c r="R611" t="s">
        <v>53</v>
      </c>
    </row>
    <row r="612" spans="1:18" x14ac:dyDescent="0.3">
      <c r="A612">
        <v>1611</v>
      </c>
      <c r="B612" s="3">
        <v>45576</v>
      </c>
      <c r="C612" s="3">
        <v>45581</v>
      </c>
      <c r="D612" t="s">
        <v>322</v>
      </c>
      <c r="E612" t="s">
        <v>211</v>
      </c>
      <c r="F612" t="s">
        <v>31</v>
      </c>
      <c r="G612" t="s">
        <v>102</v>
      </c>
      <c r="H612" t="s">
        <v>103</v>
      </c>
      <c r="I612" t="s">
        <v>58</v>
      </c>
      <c r="J612" t="s">
        <v>24</v>
      </c>
      <c r="K612" t="s">
        <v>224</v>
      </c>
      <c r="L612" t="s">
        <v>1193</v>
      </c>
      <c r="M612" s="1">
        <v>45698.76</v>
      </c>
      <c r="N612">
        <v>4</v>
      </c>
      <c r="O612" s="2">
        <v>0.15</v>
      </c>
      <c r="P612" s="1">
        <v>8653.18</v>
      </c>
      <c r="Q612" t="s">
        <v>115</v>
      </c>
      <c r="R612" t="s">
        <v>53</v>
      </c>
    </row>
    <row r="613" spans="1:18" x14ac:dyDescent="0.3">
      <c r="A613">
        <v>1612</v>
      </c>
      <c r="B613" s="3">
        <v>45846</v>
      </c>
      <c r="C613" s="3">
        <v>45848</v>
      </c>
      <c r="D613" t="s">
        <v>348</v>
      </c>
      <c r="E613" t="s">
        <v>149</v>
      </c>
      <c r="F613" t="s">
        <v>46</v>
      </c>
      <c r="G613" t="s">
        <v>95</v>
      </c>
      <c r="H613" t="s">
        <v>22</v>
      </c>
      <c r="I613" t="s">
        <v>23</v>
      </c>
      <c r="J613" t="s">
        <v>35</v>
      </c>
      <c r="K613" t="s">
        <v>129</v>
      </c>
      <c r="L613" t="s">
        <v>1194</v>
      </c>
      <c r="M613" s="1">
        <v>62807.57</v>
      </c>
      <c r="N613">
        <v>2</v>
      </c>
      <c r="O613" s="2">
        <v>0.1</v>
      </c>
      <c r="P613" s="1">
        <v>12975.58</v>
      </c>
      <c r="Q613" t="s">
        <v>82</v>
      </c>
      <c r="R613" t="s">
        <v>120</v>
      </c>
    </row>
    <row r="614" spans="1:18" x14ac:dyDescent="0.3">
      <c r="A614">
        <v>1613</v>
      </c>
      <c r="B614" s="3">
        <v>45949</v>
      </c>
      <c r="C614" s="3">
        <v>45955</v>
      </c>
      <c r="D614" t="s">
        <v>971</v>
      </c>
      <c r="E614" t="s">
        <v>820</v>
      </c>
      <c r="F614" t="s">
        <v>31</v>
      </c>
      <c r="G614" t="s">
        <v>70</v>
      </c>
      <c r="H614" t="s">
        <v>71</v>
      </c>
      <c r="I614" t="s">
        <v>58</v>
      </c>
      <c r="J614" t="s">
        <v>24</v>
      </c>
      <c r="K614" t="s">
        <v>212</v>
      </c>
      <c r="L614" t="s">
        <v>1195</v>
      </c>
      <c r="M614" s="1">
        <v>37806.86</v>
      </c>
      <c r="N614">
        <v>6</v>
      </c>
      <c r="O614" s="2">
        <v>0.1</v>
      </c>
      <c r="P614" s="1">
        <v>4405.55</v>
      </c>
      <c r="Q614" t="s">
        <v>52</v>
      </c>
      <c r="R614" t="s">
        <v>53</v>
      </c>
    </row>
    <row r="615" spans="1:18" x14ac:dyDescent="0.3">
      <c r="A615">
        <v>1614</v>
      </c>
      <c r="B615" s="3">
        <v>45895</v>
      </c>
      <c r="C615" s="3">
        <v>45900</v>
      </c>
      <c r="D615" t="s">
        <v>467</v>
      </c>
      <c r="E615" t="s">
        <v>1036</v>
      </c>
      <c r="F615" t="s">
        <v>46</v>
      </c>
      <c r="G615" t="s">
        <v>107</v>
      </c>
      <c r="H615" t="s">
        <v>108</v>
      </c>
      <c r="I615" t="s">
        <v>34</v>
      </c>
      <c r="J615" t="s">
        <v>35</v>
      </c>
      <c r="K615" t="s">
        <v>59</v>
      </c>
      <c r="L615" t="s">
        <v>1196</v>
      </c>
      <c r="M615" s="1">
        <v>64764.77</v>
      </c>
      <c r="N615">
        <v>6</v>
      </c>
      <c r="O615" s="2">
        <v>0.2</v>
      </c>
      <c r="P615" s="1">
        <v>620.6</v>
      </c>
      <c r="Q615" t="s">
        <v>61</v>
      </c>
      <c r="R615" t="s">
        <v>39</v>
      </c>
    </row>
    <row r="616" spans="1:18" x14ac:dyDescent="0.3">
      <c r="A616">
        <v>1615</v>
      </c>
      <c r="B616" s="3">
        <v>45903</v>
      </c>
      <c r="C616" s="3">
        <v>45906</v>
      </c>
      <c r="D616" t="s">
        <v>766</v>
      </c>
      <c r="E616" t="s">
        <v>281</v>
      </c>
      <c r="F616" t="s">
        <v>46</v>
      </c>
      <c r="G616" t="s">
        <v>90</v>
      </c>
      <c r="H616" t="s">
        <v>91</v>
      </c>
      <c r="I616" t="s">
        <v>23</v>
      </c>
      <c r="J616" t="s">
        <v>35</v>
      </c>
      <c r="K616" t="s">
        <v>59</v>
      </c>
      <c r="L616" t="s">
        <v>1197</v>
      </c>
      <c r="M616" s="1">
        <v>89841.37</v>
      </c>
      <c r="N616">
        <v>3</v>
      </c>
      <c r="O616" s="2">
        <v>0.15</v>
      </c>
      <c r="P616" s="1">
        <v>1942.97</v>
      </c>
      <c r="Q616" t="s">
        <v>67</v>
      </c>
      <c r="R616" t="s">
        <v>120</v>
      </c>
    </row>
    <row r="617" spans="1:18" x14ac:dyDescent="0.3">
      <c r="A617">
        <v>1616</v>
      </c>
      <c r="B617" s="3">
        <v>45559</v>
      </c>
      <c r="C617" s="3">
        <v>45563</v>
      </c>
      <c r="D617" t="s">
        <v>882</v>
      </c>
      <c r="E617" t="s">
        <v>168</v>
      </c>
      <c r="F617" t="s">
        <v>31</v>
      </c>
      <c r="G617" t="s">
        <v>21</v>
      </c>
      <c r="H617" t="s">
        <v>22</v>
      </c>
      <c r="I617" t="s">
        <v>23</v>
      </c>
      <c r="J617" t="s">
        <v>64</v>
      </c>
      <c r="K617" t="s">
        <v>157</v>
      </c>
      <c r="L617" t="s">
        <v>1198</v>
      </c>
      <c r="M617" s="1">
        <v>86349.95</v>
      </c>
      <c r="N617">
        <v>5</v>
      </c>
      <c r="O617" s="2">
        <v>0.15</v>
      </c>
      <c r="P617" s="1">
        <v>10134.86</v>
      </c>
      <c r="Q617" t="s">
        <v>67</v>
      </c>
      <c r="R617" t="s">
        <v>39</v>
      </c>
    </row>
    <row r="618" spans="1:18" x14ac:dyDescent="0.3">
      <c r="A618">
        <v>1617</v>
      </c>
      <c r="B618" s="3">
        <v>45417</v>
      </c>
      <c r="C618" s="3">
        <v>45423</v>
      </c>
      <c r="D618" t="s">
        <v>1199</v>
      </c>
      <c r="E618" t="s">
        <v>328</v>
      </c>
      <c r="F618" t="s">
        <v>46</v>
      </c>
      <c r="G618" t="s">
        <v>107</v>
      </c>
      <c r="H618" t="s">
        <v>108</v>
      </c>
      <c r="I618" t="s">
        <v>34</v>
      </c>
      <c r="J618" t="s">
        <v>24</v>
      </c>
      <c r="K618" t="s">
        <v>50</v>
      </c>
      <c r="L618" t="s">
        <v>1200</v>
      </c>
      <c r="M618" s="1">
        <v>73146.25</v>
      </c>
      <c r="N618">
        <v>9</v>
      </c>
      <c r="O618" s="2">
        <v>0.2</v>
      </c>
      <c r="P618" s="1">
        <v>12660.79</v>
      </c>
      <c r="Q618" t="s">
        <v>74</v>
      </c>
      <c r="R618" t="s">
        <v>28</v>
      </c>
    </row>
    <row r="619" spans="1:18" x14ac:dyDescent="0.3">
      <c r="A619">
        <v>1618</v>
      </c>
      <c r="B619" s="3">
        <v>45986</v>
      </c>
      <c r="C619" s="3">
        <v>45991</v>
      </c>
      <c r="D619" t="s">
        <v>449</v>
      </c>
      <c r="E619" t="s">
        <v>1201</v>
      </c>
      <c r="F619" t="s">
        <v>20</v>
      </c>
      <c r="G619" t="s">
        <v>70</v>
      </c>
      <c r="H619" t="s">
        <v>71</v>
      </c>
      <c r="I619" t="s">
        <v>58</v>
      </c>
      <c r="J619" t="s">
        <v>35</v>
      </c>
      <c r="K619" t="s">
        <v>129</v>
      </c>
      <c r="L619" t="s">
        <v>1202</v>
      </c>
      <c r="M619" s="1">
        <v>4511.54</v>
      </c>
      <c r="N619">
        <v>10</v>
      </c>
      <c r="O619" s="2">
        <v>0.1</v>
      </c>
      <c r="P619" s="1">
        <v>521.80999999999995</v>
      </c>
      <c r="Q619" t="s">
        <v>82</v>
      </c>
      <c r="R619" t="s">
        <v>28</v>
      </c>
    </row>
    <row r="620" spans="1:18" x14ac:dyDescent="0.3">
      <c r="A620">
        <v>1619</v>
      </c>
      <c r="B620" s="3">
        <v>45428</v>
      </c>
      <c r="C620" s="3">
        <v>45431</v>
      </c>
      <c r="D620" t="s">
        <v>852</v>
      </c>
      <c r="E620" t="s">
        <v>1101</v>
      </c>
      <c r="F620" t="s">
        <v>31</v>
      </c>
      <c r="G620" t="s">
        <v>112</v>
      </c>
      <c r="H620" t="s">
        <v>113</v>
      </c>
      <c r="I620" t="s">
        <v>49</v>
      </c>
      <c r="J620" t="s">
        <v>24</v>
      </c>
      <c r="K620" t="s">
        <v>224</v>
      </c>
      <c r="L620" t="s">
        <v>1203</v>
      </c>
      <c r="M620" s="1">
        <v>66876.81</v>
      </c>
      <c r="N620">
        <v>1</v>
      </c>
      <c r="O620" s="2">
        <v>0</v>
      </c>
      <c r="P620" s="1">
        <v>10290.84</v>
      </c>
      <c r="Q620" t="s">
        <v>115</v>
      </c>
      <c r="R620" t="s">
        <v>120</v>
      </c>
    </row>
    <row r="621" spans="1:18" x14ac:dyDescent="0.3">
      <c r="A621">
        <v>1620</v>
      </c>
      <c r="B621" s="3">
        <v>45612</v>
      </c>
      <c r="C621" s="3">
        <v>45618</v>
      </c>
      <c r="D621" t="s">
        <v>792</v>
      </c>
      <c r="E621" t="s">
        <v>550</v>
      </c>
      <c r="F621" t="s">
        <v>20</v>
      </c>
      <c r="G621" t="s">
        <v>85</v>
      </c>
      <c r="H621" t="s">
        <v>86</v>
      </c>
      <c r="I621" t="s">
        <v>49</v>
      </c>
      <c r="J621" t="s">
        <v>64</v>
      </c>
      <c r="K621" t="s">
        <v>188</v>
      </c>
      <c r="L621" t="s">
        <v>1204</v>
      </c>
      <c r="M621" s="1">
        <v>76110.77</v>
      </c>
      <c r="N621">
        <v>1</v>
      </c>
      <c r="O621" s="2">
        <v>0.3</v>
      </c>
      <c r="P621" s="1">
        <v>-1434.45</v>
      </c>
      <c r="Q621" t="s">
        <v>115</v>
      </c>
      <c r="R621" t="s">
        <v>39</v>
      </c>
    </row>
    <row r="622" spans="1:18" x14ac:dyDescent="0.3">
      <c r="A622">
        <v>1621</v>
      </c>
      <c r="B622" s="3">
        <v>46015</v>
      </c>
      <c r="C622" s="3">
        <v>46020</v>
      </c>
      <c r="D622" t="s">
        <v>929</v>
      </c>
      <c r="E622" t="s">
        <v>697</v>
      </c>
      <c r="F622" t="s">
        <v>31</v>
      </c>
      <c r="G622" t="s">
        <v>56</v>
      </c>
      <c r="H622" t="s">
        <v>57</v>
      </c>
      <c r="I622" t="s">
        <v>58</v>
      </c>
      <c r="J622" t="s">
        <v>35</v>
      </c>
      <c r="K622" t="s">
        <v>129</v>
      </c>
      <c r="L622" t="s">
        <v>1205</v>
      </c>
      <c r="M622" s="1">
        <v>25026.86</v>
      </c>
      <c r="N622">
        <v>7</v>
      </c>
      <c r="O622" s="2">
        <v>0.15</v>
      </c>
      <c r="P622" s="1">
        <v>3000.58</v>
      </c>
      <c r="Q622" t="s">
        <v>61</v>
      </c>
      <c r="R622" t="s">
        <v>39</v>
      </c>
    </row>
    <row r="623" spans="1:18" x14ac:dyDescent="0.3">
      <c r="A623">
        <v>1622</v>
      </c>
      <c r="B623" s="3">
        <v>45683</v>
      </c>
      <c r="C623" s="3">
        <v>45689</v>
      </c>
      <c r="D623" t="s">
        <v>1123</v>
      </c>
      <c r="E623" t="s">
        <v>1106</v>
      </c>
      <c r="F623" t="s">
        <v>46</v>
      </c>
      <c r="G623" t="s">
        <v>56</v>
      </c>
      <c r="H623" t="s">
        <v>57</v>
      </c>
      <c r="I623" t="s">
        <v>58</v>
      </c>
      <c r="J623" t="s">
        <v>35</v>
      </c>
      <c r="K623" t="s">
        <v>59</v>
      </c>
      <c r="L623" t="s">
        <v>1206</v>
      </c>
      <c r="M623" s="1">
        <v>14796.13</v>
      </c>
      <c r="N623">
        <v>5</v>
      </c>
      <c r="O623" s="2">
        <v>0.1</v>
      </c>
      <c r="P623" s="1">
        <v>2048.42</v>
      </c>
      <c r="Q623" t="s">
        <v>74</v>
      </c>
      <c r="R623" t="s">
        <v>120</v>
      </c>
    </row>
    <row r="624" spans="1:18" x14ac:dyDescent="0.3">
      <c r="A624">
        <v>1623</v>
      </c>
      <c r="B624" s="3">
        <v>45665</v>
      </c>
      <c r="C624" s="3">
        <v>45666</v>
      </c>
      <c r="D624" t="s">
        <v>818</v>
      </c>
      <c r="E624" t="s">
        <v>1207</v>
      </c>
      <c r="F624" t="s">
        <v>31</v>
      </c>
      <c r="G624" t="s">
        <v>102</v>
      </c>
      <c r="H624" t="s">
        <v>103</v>
      </c>
      <c r="I624" t="s">
        <v>58</v>
      </c>
      <c r="J624" t="s">
        <v>24</v>
      </c>
      <c r="K624" t="s">
        <v>224</v>
      </c>
      <c r="L624" t="s">
        <v>1208</v>
      </c>
      <c r="M624" s="1">
        <v>70927.320000000007</v>
      </c>
      <c r="N624">
        <v>7</v>
      </c>
      <c r="O624" s="2">
        <v>0</v>
      </c>
      <c r="P624" s="1">
        <v>12209.91</v>
      </c>
      <c r="Q624" t="s">
        <v>82</v>
      </c>
      <c r="R624" t="s">
        <v>28</v>
      </c>
    </row>
    <row r="625" spans="1:18" x14ac:dyDescent="0.3">
      <c r="A625">
        <v>1624</v>
      </c>
      <c r="B625" s="3">
        <v>45598</v>
      </c>
      <c r="C625" s="3">
        <v>45601</v>
      </c>
      <c r="D625" t="s">
        <v>361</v>
      </c>
      <c r="E625" t="s">
        <v>972</v>
      </c>
      <c r="F625" t="s">
        <v>46</v>
      </c>
      <c r="G625" t="s">
        <v>95</v>
      </c>
      <c r="H625" t="s">
        <v>22</v>
      </c>
      <c r="I625" t="s">
        <v>23</v>
      </c>
      <c r="J625" t="s">
        <v>64</v>
      </c>
      <c r="K625" t="s">
        <v>65</v>
      </c>
      <c r="L625" t="s">
        <v>1209</v>
      </c>
      <c r="M625" s="1">
        <v>877.93</v>
      </c>
      <c r="N625">
        <v>9</v>
      </c>
      <c r="O625" s="2">
        <v>0.05</v>
      </c>
      <c r="P625" s="1">
        <v>98.9</v>
      </c>
      <c r="Q625" t="s">
        <v>74</v>
      </c>
      <c r="R625" t="s">
        <v>120</v>
      </c>
    </row>
    <row r="626" spans="1:18" x14ac:dyDescent="0.3">
      <c r="A626">
        <v>1625</v>
      </c>
      <c r="B626" s="3">
        <v>45396</v>
      </c>
      <c r="C626" s="3">
        <v>45397</v>
      </c>
      <c r="D626" t="s">
        <v>110</v>
      </c>
      <c r="E626" t="s">
        <v>1210</v>
      </c>
      <c r="F626" t="s">
        <v>20</v>
      </c>
      <c r="G626" t="s">
        <v>32</v>
      </c>
      <c r="H626" t="s">
        <v>33</v>
      </c>
      <c r="I626" t="s">
        <v>34</v>
      </c>
      <c r="J626" t="s">
        <v>35</v>
      </c>
      <c r="K626" t="s">
        <v>59</v>
      </c>
      <c r="L626" t="s">
        <v>1211</v>
      </c>
      <c r="M626" s="1">
        <v>87741.77</v>
      </c>
      <c r="N626">
        <v>10</v>
      </c>
      <c r="O626" s="2">
        <v>0.25</v>
      </c>
      <c r="P626" s="1">
        <v>5277.4</v>
      </c>
      <c r="Q626" t="s">
        <v>74</v>
      </c>
      <c r="R626" t="s">
        <v>53</v>
      </c>
    </row>
    <row r="627" spans="1:18" x14ac:dyDescent="0.3">
      <c r="A627">
        <v>1626</v>
      </c>
      <c r="B627" s="3">
        <v>45955</v>
      </c>
      <c r="C627" s="3">
        <v>45956</v>
      </c>
      <c r="D627" t="s">
        <v>322</v>
      </c>
      <c r="E627" t="s">
        <v>1180</v>
      </c>
      <c r="F627" t="s">
        <v>46</v>
      </c>
      <c r="G627" t="s">
        <v>21</v>
      </c>
      <c r="H627" t="s">
        <v>22</v>
      </c>
      <c r="I627" t="s">
        <v>23</v>
      </c>
      <c r="J627" t="s">
        <v>64</v>
      </c>
      <c r="K627" t="s">
        <v>188</v>
      </c>
      <c r="L627" t="s">
        <v>1212</v>
      </c>
      <c r="M627" s="1">
        <v>69194.100000000006</v>
      </c>
      <c r="N627">
        <v>5</v>
      </c>
      <c r="O627" s="2">
        <v>0</v>
      </c>
      <c r="P627" s="1">
        <v>13060.2</v>
      </c>
      <c r="Q627" t="s">
        <v>27</v>
      </c>
      <c r="R627" t="s">
        <v>120</v>
      </c>
    </row>
    <row r="628" spans="1:18" x14ac:dyDescent="0.3">
      <c r="A628">
        <v>1627</v>
      </c>
      <c r="B628" s="3">
        <v>45292</v>
      </c>
      <c r="C628" s="3">
        <v>45293</v>
      </c>
      <c r="D628" t="s">
        <v>568</v>
      </c>
      <c r="E628" t="s">
        <v>737</v>
      </c>
      <c r="F628" t="s">
        <v>20</v>
      </c>
      <c r="G628" t="s">
        <v>118</v>
      </c>
      <c r="H628" t="s">
        <v>118</v>
      </c>
      <c r="I628" t="s">
        <v>34</v>
      </c>
      <c r="J628" t="s">
        <v>35</v>
      </c>
      <c r="K628" t="s">
        <v>59</v>
      </c>
      <c r="L628" t="s">
        <v>1213</v>
      </c>
      <c r="M628" s="1">
        <v>1125.21</v>
      </c>
      <c r="N628">
        <v>10</v>
      </c>
      <c r="O628" s="2">
        <v>0.15</v>
      </c>
      <c r="P628" s="1">
        <v>220.96</v>
      </c>
      <c r="Q628" t="s">
        <v>82</v>
      </c>
      <c r="R628" t="s">
        <v>120</v>
      </c>
    </row>
    <row r="629" spans="1:18" x14ac:dyDescent="0.3">
      <c r="A629">
        <v>1628</v>
      </c>
      <c r="B629" s="3">
        <v>45572</v>
      </c>
      <c r="C629" s="3">
        <v>45576</v>
      </c>
      <c r="D629" t="s">
        <v>318</v>
      </c>
      <c r="E629" t="s">
        <v>138</v>
      </c>
      <c r="F629" t="s">
        <v>31</v>
      </c>
      <c r="G629" t="s">
        <v>118</v>
      </c>
      <c r="H629" t="s">
        <v>118</v>
      </c>
      <c r="I629" t="s">
        <v>34</v>
      </c>
      <c r="J629" t="s">
        <v>64</v>
      </c>
      <c r="K629" t="s">
        <v>65</v>
      </c>
      <c r="L629" t="s">
        <v>1214</v>
      </c>
      <c r="M629" s="1">
        <v>27780.19</v>
      </c>
      <c r="N629">
        <v>2</v>
      </c>
      <c r="O629" s="2">
        <v>0.3</v>
      </c>
      <c r="P629" s="1">
        <v>4793.88</v>
      </c>
      <c r="Q629" t="s">
        <v>115</v>
      </c>
      <c r="R629" t="s">
        <v>53</v>
      </c>
    </row>
    <row r="630" spans="1:18" x14ac:dyDescent="0.3">
      <c r="A630">
        <v>1629</v>
      </c>
      <c r="B630" s="3">
        <v>45647</v>
      </c>
      <c r="C630" s="3">
        <v>45653</v>
      </c>
      <c r="D630" t="s">
        <v>687</v>
      </c>
      <c r="E630" t="s">
        <v>740</v>
      </c>
      <c r="F630" t="s">
        <v>20</v>
      </c>
      <c r="G630" t="s">
        <v>70</v>
      </c>
      <c r="H630" t="s">
        <v>71</v>
      </c>
      <c r="I630" t="s">
        <v>58</v>
      </c>
      <c r="J630" t="s">
        <v>35</v>
      </c>
      <c r="K630" t="s">
        <v>129</v>
      </c>
      <c r="L630" t="s">
        <v>1215</v>
      </c>
      <c r="M630" s="1">
        <v>76283.06</v>
      </c>
      <c r="N630">
        <v>1</v>
      </c>
      <c r="O630" s="2">
        <v>0.15</v>
      </c>
      <c r="P630" s="1">
        <v>7869.56</v>
      </c>
      <c r="Q630" t="s">
        <v>27</v>
      </c>
      <c r="R630" t="s">
        <v>28</v>
      </c>
    </row>
    <row r="631" spans="1:18" x14ac:dyDescent="0.3">
      <c r="A631">
        <v>1630</v>
      </c>
      <c r="B631" s="3">
        <v>45628</v>
      </c>
      <c r="C631" s="3">
        <v>45632</v>
      </c>
      <c r="D631" t="s">
        <v>1216</v>
      </c>
      <c r="E631" t="s">
        <v>479</v>
      </c>
      <c r="F631" t="s">
        <v>31</v>
      </c>
      <c r="G631" t="s">
        <v>102</v>
      </c>
      <c r="H631" t="s">
        <v>103</v>
      </c>
      <c r="I631" t="s">
        <v>58</v>
      </c>
      <c r="J631" t="s">
        <v>24</v>
      </c>
      <c r="K631" t="s">
        <v>25</v>
      </c>
      <c r="L631" t="s">
        <v>1217</v>
      </c>
      <c r="M631" s="1">
        <v>61995.3</v>
      </c>
      <c r="N631">
        <v>10</v>
      </c>
      <c r="O631" s="2">
        <v>0.3</v>
      </c>
      <c r="P631" s="1">
        <v>10363.959999999999</v>
      </c>
      <c r="Q631" t="s">
        <v>74</v>
      </c>
      <c r="R631" t="s">
        <v>28</v>
      </c>
    </row>
    <row r="632" spans="1:18" x14ac:dyDescent="0.3">
      <c r="A632">
        <v>1631</v>
      </c>
      <c r="B632" s="3">
        <v>45777</v>
      </c>
      <c r="C632" s="3">
        <v>45783</v>
      </c>
      <c r="D632" t="s">
        <v>116</v>
      </c>
      <c r="E632" t="s">
        <v>378</v>
      </c>
      <c r="F632" t="s">
        <v>20</v>
      </c>
      <c r="G632" t="s">
        <v>21</v>
      </c>
      <c r="H632" t="s">
        <v>22</v>
      </c>
      <c r="I632" t="s">
        <v>23</v>
      </c>
      <c r="J632" t="s">
        <v>35</v>
      </c>
      <c r="K632" t="s">
        <v>129</v>
      </c>
      <c r="L632" t="s">
        <v>1218</v>
      </c>
      <c r="M632" s="1">
        <v>70459.53</v>
      </c>
      <c r="N632">
        <v>8</v>
      </c>
      <c r="O632" s="2">
        <v>0.3</v>
      </c>
      <c r="P632" s="1">
        <v>-2549.94</v>
      </c>
      <c r="Q632" t="s">
        <v>82</v>
      </c>
      <c r="R632" t="s">
        <v>53</v>
      </c>
    </row>
    <row r="633" spans="1:18" x14ac:dyDescent="0.3">
      <c r="A633">
        <v>1632</v>
      </c>
      <c r="B633" s="3">
        <v>45671</v>
      </c>
      <c r="C633" s="3">
        <v>45673</v>
      </c>
      <c r="D633" t="s">
        <v>611</v>
      </c>
      <c r="E633" t="s">
        <v>717</v>
      </c>
      <c r="F633" t="s">
        <v>46</v>
      </c>
      <c r="G633" t="s">
        <v>95</v>
      </c>
      <c r="H633" t="s">
        <v>22</v>
      </c>
      <c r="I633" t="s">
        <v>23</v>
      </c>
      <c r="J633" t="s">
        <v>24</v>
      </c>
      <c r="K633" t="s">
        <v>212</v>
      </c>
      <c r="L633" t="s">
        <v>1219</v>
      </c>
      <c r="M633" s="1">
        <v>15142.26</v>
      </c>
      <c r="N633">
        <v>6</v>
      </c>
      <c r="O633" s="2">
        <v>0.3</v>
      </c>
      <c r="P633" s="1">
        <v>-200.91</v>
      </c>
      <c r="Q633" t="s">
        <v>74</v>
      </c>
      <c r="R633" t="s">
        <v>39</v>
      </c>
    </row>
    <row r="634" spans="1:18" x14ac:dyDescent="0.3">
      <c r="A634">
        <v>1633</v>
      </c>
      <c r="B634" s="3">
        <v>45609</v>
      </c>
      <c r="C634" s="3">
        <v>45610</v>
      </c>
      <c r="D634" t="s">
        <v>628</v>
      </c>
      <c r="E634" t="s">
        <v>626</v>
      </c>
      <c r="F634" t="s">
        <v>46</v>
      </c>
      <c r="G634" t="s">
        <v>112</v>
      </c>
      <c r="H634" t="s">
        <v>113</v>
      </c>
      <c r="I634" t="s">
        <v>49</v>
      </c>
      <c r="J634" t="s">
        <v>35</v>
      </c>
      <c r="K634" t="s">
        <v>59</v>
      </c>
      <c r="L634" t="s">
        <v>1220</v>
      </c>
      <c r="M634" s="1">
        <v>88374.59</v>
      </c>
      <c r="N634">
        <v>3</v>
      </c>
      <c r="O634" s="2">
        <v>0.1</v>
      </c>
      <c r="P634" s="1">
        <v>22342.11</v>
      </c>
      <c r="Q634" t="s">
        <v>27</v>
      </c>
      <c r="R634" t="s">
        <v>120</v>
      </c>
    </row>
    <row r="635" spans="1:18" x14ac:dyDescent="0.3">
      <c r="A635">
        <v>1634</v>
      </c>
      <c r="B635" s="3">
        <v>45896</v>
      </c>
      <c r="C635" s="3">
        <v>45900</v>
      </c>
      <c r="D635" t="s">
        <v>1221</v>
      </c>
      <c r="E635" t="s">
        <v>1222</v>
      </c>
      <c r="F635" t="s">
        <v>31</v>
      </c>
      <c r="G635" t="s">
        <v>107</v>
      </c>
      <c r="H635" t="s">
        <v>108</v>
      </c>
      <c r="I635" t="s">
        <v>34</v>
      </c>
      <c r="J635" t="s">
        <v>24</v>
      </c>
      <c r="K635" t="s">
        <v>25</v>
      </c>
      <c r="L635" t="s">
        <v>1223</v>
      </c>
      <c r="M635" s="1">
        <v>67322.48</v>
      </c>
      <c r="N635">
        <v>4</v>
      </c>
      <c r="O635" s="2">
        <v>0</v>
      </c>
      <c r="P635" s="1">
        <v>5434</v>
      </c>
      <c r="Q635" t="s">
        <v>38</v>
      </c>
      <c r="R635" t="s">
        <v>53</v>
      </c>
    </row>
    <row r="636" spans="1:18" x14ac:dyDescent="0.3">
      <c r="A636">
        <v>1635</v>
      </c>
      <c r="B636" s="3">
        <v>45845</v>
      </c>
      <c r="C636" s="3">
        <v>45851</v>
      </c>
      <c r="D636" t="s">
        <v>1005</v>
      </c>
      <c r="E636" t="s">
        <v>909</v>
      </c>
      <c r="F636" t="s">
        <v>20</v>
      </c>
      <c r="G636" t="s">
        <v>90</v>
      </c>
      <c r="H636" t="s">
        <v>91</v>
      </c>
      <c r="I636" t="s">
        <v>23</v>
      </c>
      <c r="J636" t="s">
        <v>24</v>
      </c>
      <c r="K636" t="s">
        <v>72</v>
      </c>
      <c r="L636" t="s">
        <v>1224</v>
      </c>
      <c r="M636" s="1">
        <v>26940.799999999999</v>
      </c>
      <c r="N636">
        <v>9</v>
      </c>
      <c r="O636" s="2">
        <v>0.1</v>
      </c>
      <c r="P636" s="1">
        <v>6331.29</v>
      </c>
      <c r="Q636" t="s">
        <v>52</v>
      </c>
      <c r="R636" t="s">
        <v>120</v>
      </c>
    </row>
    <row r="637" spans="1:18" x14ac:dyDescent="0.3">
      <c r="A637">
        <v>1636</v>
      </c>
      <c r="B637" s="3">
        <v>45751</v>
      </c>
      <c r="C637" s="3">
        <v>45757</v>
      </c>
      <c r="D637" t="s">
        <v>412</v>
      </c>
      <c r="E637" t="s">
        <v>111</v>
      </c>
      <c r="F637" t="s">
        <v>20</v>
      </c>
      <c r="G637" t="s">
        <v>118</v>
      </c>
      <c r="H637" t="s">
        <v>118</v>
      </c>
      <c r="I637" t="s">
        <v>34</v>
      </c>
      <c r="J637" t="s">
        <v>64</v>
      </c>
      <c r="K637" t="s">
        <v>65</v>
      </c>
      <c r="L637" t="s">
        <v>1225</v>
      </c>
      <c r="M637" s="1">
        <v>41645.79</v>
      </c>
      <c r="N637">
        <v>6</v>
      </c>
      <c r="O637" s="2">
        <v>0.15</v>
      </c>
      <c r="P637" s="1">
        <v>3112.79</v>
      </c>
      <c r="Q637" t="s">
        <v>74</v>
      </c>
      <c r="R637" t="s">
        <v>120</v>
      </c>
    </row>
    <row r="638" spans="1:18" x14ac:dyDescent="0.3">
      <c r="A638">
        <v>1637</v>
      </c>
      <c r="B638" s="3">
        <v>46014</v>
      </c>
      <c r="C638" s="3">
        <v>46016</v>
      </c>
      <c r="D638" t="s">
        <v>586</v>
      </c>
      <c r="E638" t="s">
        <v>406</v>
      </c>
      <c r="F638" t="s">
        <v>46</v>
      </c>
      <c r="G638" t="s">
        <v>32</v>
      </c>
      <c r="H638" t="s">
        <v>33</v>
      </c>
      <c r="I638" t="s">
        <v>34</v>
      </c>
      <c r="J638" t="s">
        <v>24</v>
      </c>
      <c r="K638" t="s">
        <v>72</v>
      </c>
      <c r="L638" t="s">
        <v>1226</v>
      </c>
      <c r="M638" s="1">
        <v>57043.34</v>
      </c>
      <c r="N638">
        <v>9</v>
      </c>
      <c r="O638" s="2">
        <v>0.2</v>
      </c>
      <c r="P638" s="1">
        <v>10321.61</v>
      </c>
      <c r="Q638" t="s">
        <v>38</v>
      </c>
      <c r="R638" t="s">
        <v>120</v>
      </c>
    </row>
    <row r="639" spans="1:18" x14ac:dyDescent="0.3">
      <c r="A639">
        <v>1638</v>
      </c>
      <c r="B639" s="3">
        <v>45548</v>
      </c>
      <c r="C639" s="3">
        <v>45552</v>
      </c>
      <c r="D639" t="s">
        <v>540</v>
      </c>
      <c r="E639" t="s">
        <v>1227</v>
      </c>
      <c r="F639" t="s">
        <v>31</v>
      </c>
      <c r="G639" t="s">
        <v>102</v>
      </c>
      <c r="H639" t="s">
        <v>103</v>
      </c>
      <c r="I639" t="s">
        <v>58</v>
      </c>
      <c r="J639" t="s">
        <v>35</v>
      </c>
      <c r="K639" t="s">
        <v>129</v>
      </c>
      <c r="L639" t="s">
        <v>1006</v>
      </c>
      <c r="M639" s="1">
        <v>37695.72</v>
      </c>
      <c r="N639">
        <v>8</v>
      </c>
      <c r="O639" s="2">
        <v>0.25</v>
      </c>
      <c r="P639" s="1">
        <v>6440.19</v>
      </c>
      <c r="Q639" t="s">
        <v>115</v>
      </c>
      <c r="R639" t="s">
        <v>53</v>
      </c>
    </row>
    <row r="640" spans="1:18" x14ac:dyDescent="0.3">
      <c r="A640">
        <v>1639</v>
      </c>
      <c r="B640" s="3">
        <v>45810</v>
      </c>
      <c r="C640" s="3">
        <v>45812</v>
      </c>
      <c r="D640" t="s">
        <v>475</v>
      </c>
      <c r="E640" t="s">
        <v>748</v>
      </c>
      <c r="F640" t="s">
        <v>31</v>
      </c>
      <c r="G640" t="s">
        <v>107</v>
      </c>
      <c r="H640" t="s">
        <v>108</v>
      </c>
      <c r="I640" t="s">
        <v>34</v>
      </c>
      <c r="J640" t="s">
        <v>24</v>
      </c>
      <c r="K640" t="s">
        <v>224</v>
      </c>
      <c r="L640" t="s">
        <v>1228</v>
      </c>
      <c r="M640" s="1">
        <v>42011.7</v>
      </c>
      <c r="N640">
        <v>10</v>
      </c>
      <c r="O640" s="2">
        <v>0.1</v>
      </c>
      <c r="P640" s="1">
        <v>9131.6299999999992</v>
      </c>
      <c r="Q640" t="s">
        <v>61</v>
      </c>
      <c r="R640" t="s">
        <v>53</v>
      </c>
    </row>
    <row r="641" spans="1:18" x14ac:dyDescent="0.3">
      <c r="A641">
        <v>1640</v>
      </c>
      <c r="B641" s="3">
        <v>45666</v>
      </c>
      <c r="C641" s="3">
        <v>45667</v>
      </c>
      <c r="D641" t="s">
        <v>340</v>
      </c>
      <c r="E641" t="s">
        <v>659</v>
      </c>
      <c r="F641" t="s">
        <v>20</v>
      </c>
      <c r="G641" t="s">
        <v>95</v>
      </c>
      <c r="H641" t="s">
        <v>22</v>
      </c>
      <c r="I641" t="s">
        <v>23</v>
      </c>
      <c r="J641" t="s">
        <v>24</v>
      </c>
      <c r="K641" t="s">
        <v>212</v>
      </c>
      <c r="L641" t="s">
        <v>1229</v>
      </c>
      <c r="M641" s="1">
        <v>86706.46</v>
      </c>
      <c r="N641">
        <v>3</v>
      </c>
      <c r="O641" s="2">
        <v>0.25</v>
      </c>
      <c r="P641" s="1">
        <v>8597.33</v>
      </c>
      <c r="Q641" t="s">
        <v>27</v>
      </c>
      <c r="R641" t="s">
        <v>120</v>
      </c>
    </row>
    <row r="642" spans="1:18" x14ac:dyDescent="0.3">
      <c r="A642">
        <v>1641</v>
      </c>
      <c r="B642" s="3">
        <v>45884</v>
      </c>
      <c r="C642" s="3">
        <v>45888</v>
      </c>
      <c r="D642" t="s">
        <v>643</v>
      </c>
      <c r="E642" t="s">
        <v>1170</v>
      </c>
      <c r="F642" t="s">
        <v>46</v>
      </c>
      <c r="G642" t="s">
        <v>112</v>
      </c>
      <c r="H642" t="s">
        <v>113</v>
      </c>
      <c r="I642" t="s">
        <v>49</v>
      </c>
      <c r="J642" t="s">
        <v>24</v>
      </c>
      <c r="K642" t="s">
        <v>50</v>
      </c>
      <c r="L642" t="s">
        <v>1230</v>
      </c>
      <c r="M642" s="1">
        <v>64145.120000000003</v>
      </c>
      <c r="N642">
        <v>5</v>
      </c>
      <c r="O642" s="2">
        <v>0.2</v>
      </c>
      <c r="P642" s="1">
        <v>9705.3700000000008</v>
      </c>
      <c r="Q642" t="s">
        <v>82</v>
      </c>
      <c r="R642" t="s">
        <v>53</v>
      </c>
    </row>
    <row r="643" spans="1:18" x14ac:dyDescent="0.3">
      <c r="A643">
        <v>1642</v>
      </c>
      <c r="B643" s="3">
        <v>45547</v>
      </c>
      <c r="C643" s="3">
        <v>45550</v>
      </c>
      <c r="D643" t="s">
        <v>333</v>
      </c>
      <c r="E643" t="s">
        <v>581</v>
      </c>
      <c r="F643" t="s">
        <v>20</v>
      </c>
      <c r="G643" t="s">
        <v>107</v>
      </c>
      <c r="H643" t="s">
        <v>108</v>
      </c>
      <c r="I643" t="s">
        <v>34</v>
      </c>
      <c r="J643" t="s">
        <v>24</v>
      </c>
      <c r="K643" t="s">
        <v>50</v>
      </c>
      <c r="L643" t="s">
        <v>1231</v>
      </c>
      <c r="M643" s="1">
        <v>58742.23</v>
      </c>
      <c r="N643">
        <v>10</v>
      </c>
      <c r="O643" s="2">
        <v>0.3</v>
      </c>
      <c r="P643" s="1">
        <v>6971.55</v>
      </c>
      <c r="Q643" t="s">
        <v>61</v>
      </c>
      <c r="R643" t="s">
        <v>53</v>
      </c>
    </row>
    <row r="644" spans="1:18" x14ac:dyDescent="0.3">
      <c r="A644">
        <v>1643</v>
      </c>
      <c r="B644" s="3">
        <v>45300</v>
      </c>
      <c r="C644" s="3">
        <v>45306</v>
      </c>
      <c r="D644" t="s">
        <v>1153</v>
      </c>
      <c r="E644" t="s">
        <v>805</v>
      </c>
      <c r="F644" t="s">
        <v>20</v>
      </c>
      <c r="G644" t="s">
        <v>85</v>
      </c>
      <c r="H644" t="s">
        <v>86</v>
      </c>
      <c r="I644" t="s">
        <v>49</v>
      </c>
      <c r="J644" t="s">
        <v>24</v>
      </c>
      <c r="K644" t="s">
        <v>25</v>
      </c>
      <c r="L644" t="s">
        <v>1232</v>
      </c>
      <c r="M644" s="1">
        <v>26856.01</v>
      </c>
      <c r="N644">
        <v>1</v>
      </c>
      <c r="O644" s="2">
        <v>0.25</v>
      </c>
      <c r="P644" s="1">
        <v>2521.0300000000002</v>
      </c>
      <c r="Q644" t="s">
        <v>38</v>
      </c>
      <c r="R644" t="s">
        <v>28</v>
      </c>
    </row>
    <row r="645" spans="1:18" x14ac:dyDescent="0.3">
      <c r="A645">
        <v>1644</v>
      </c>
      <c r="B645" s="3">
        <v>45546</v>
      </c>
      <c r="C645" s="3">
        <v>45549</v>
      </c>
      <c r="D645" t="s">
        <v>666</v>
      </c>
      <c r="E645" t="s">
        <v>1178</v>
      </c>
      <c r="F645" t="s">
        <v>31</v>
      </c>
      <c r="G645" t="s">
        <v>32</v>
      </c>
      <c r="H645" t="s">
        <v>33</v>
      </c>
      <c r="I645" t="s">
        <v>34</v>
      </c>
      <c r="J645" t="s">
        <v>64</v>
      </c>
      <c r="K645" t="s">
        <v>157</v>
      </c>
      <c r="L645" t="s">
        <v>1233</v>
      </c>
      <c r="M645" s="1">
        <v>34687.14</v>
      </c>
      <c r="N645">
        <v>6</v>
      </c>
      <c r="O645" s="2">
        <v>0.25</v>
      </c>
      <c r="P645" s="1">
        <v>2403.62</v>
      </c>
      <c r="Q645" t="s">
        <v>52</v>
      </c>
      <c r="R645" t="s">
        <v>39</v>
      </c>
    </row>
    <row r="646" spans="1:18" x14ac:dyDescent="0.3">
      <c r="A646">
        <v>1645</v>
      </c>
      <c r="B646" s="3">
        <v>45378</v>
      </c>
      <c r="C646" s="3">
        <v>45382</v>
      </c>
      <c r="D646" t="s">
        <v>1065</v>
      </c>
      <c r="E646" t="s">
        <v>481</v>
      </c>
      <c r="F646" t="s">
        <v>20</v>
      </c>
      <c r="G646" t="s">
        <v>70</v>
      </c>
      <c r="H646" t="s">
        <v>71</v>
      </c>
      <c r="I646" t="s">
        <v>58</v>
      </c>
      <c r="J646" t="s">
        <v>64</v>
      </c>
      <c r="K646" t="s">
        <v>157</v>
      </c>
      <c r="L646" t="s">
        <v>1234</v>
      </c>
      <c r="M646" s="1">
        <v>89430.24</v>
      </c>
      <c r="N646">
        <v>1</v>
      </c>
      <c r="O646" s="2">
        <v>0.2</v>
      </c>
      <c r="P646" s="1">
        <v>9227.75</v>
      </c>
      <c r="Q646" t="s">
        <v>38</v>
      </c>
      <c r="R646" t="s">
        <v>39</v>
      </c>
    </row>
    <row r="647" spans="1:18" x14ac:dyDescent="0.3">
      <c r="A647">
        <v>1646</v>
      </c>
      <c r="B647" s="3">
        <v>45657</v>
      </c>
      <c r="C647" s="3">
        <v>45662</v>
      </c>
      <c r="D647" t="s">
        <v>1005</v>
      </c>
      <c r="E647" t="s">
        <v>1235</v>
      </c>
      <c r="F647" t="s">
        <v>20</v>
      </c>
      <c r="G647" t="s">
        <v>56</v>
      </c>
      <c r="H647" t="s">
        <v>57</v>
      </c>
      <c r="I647" t="s">
        <v>58</v>
      </c>
      <c r="J647" t="s">
        <v>64</v>
      </c>
      <c r="K647" t="s">
        <v>157</v>
      </c>
      <c r="L647" t="s">
        <v>357</v>
      </c>
      <c r="M647" s="1">
        <v>25934.22</v>
      </c>
      <c r="N647">
        <v>3</v>
      </c>
      <c r="O647" s="2">
        <v>0</v>
      </c>
      <c r="P647" s="1">
        <v>6776.84</v>
      </c>
      <c r="Q647" t="s">
        <v>82</v>
      </c>
      <c r="R647" t="s">
        <v>120</v>
      </c>
    </row>
    <row r="648" spans="1:18" x14ac:dyDescent="0.3">
      <c r="A648">
        <v>1647</v>
      </c>
      <c r="B648" s="3">
        <v>45989</v>
      </c>
      <c r="C648" s="3">
        <v>45995</v>
      </c>
      <c r="D648" t="s">
        <v>1236</v>
      </c>
      <c r="E648" t="s">
        <v>168</v>
      </c>
      <c r="F648" t="s">
        <v>20</v>
      </c>
      <c r="G648" t="s">
        <v>90</v>
      </c>
      <c r="H648" t="s">
        <v>91</v>
      </c>
      <c r="I648" t="s">
        <v>23</v>
      </c>
      <c r="J648" t="s">
        <v>35</v>
      </c>
      <c r="K648" t="s">
        <v>129</v>
      </c>
      <c r="L648" t="s">
        <v>1237</v>
      </c>
      <c r="M648" s="1">
        <v>40944.589999999997</v>
      </c>
      <c r="N648">
        <v>5</v>
      </c>
      <c r="O648" s="2">
        <v>0.2</v>
      </c>
      <c r="P648" s="1">
        <v>3164.48</v>
      </c>
      <c r="Q648" t="s">
        <v>67</v>
      </c>
      <c r="R648" t="s">
        <v>28</v>
      </c>
    </row>
    <row r="649" spans="1:18" x14ac:dyDescent="0.3">
      <c r="A649">
        <v>1648</v>
      </c>
      <c r="B649" s="3">
        <v>45483</v>
      </c>
      <c r="C649" s="3">
        <v>45487</v>
      </c>
      <c r="D649" t="s">
        <v>217</v>
      </c>
      <c r="E649" t="s">
        <v>462</v>
      </c>
      <c r="F649" t="s">
        <v>31</v>
      </c>
      <c r="G649" t="s">
        <v>47</v>
      </c>
      <c r="H649" t="s">
        <v>48</v>
      </c>
      <c r="I649" t="s">
        <v>49</v>
      </c>
      <c r="J649" t="s">
        <v>35</v>
      </c>
      <c r="K649" t="s">
        <v>42</v>
      </c>
      <c r="L649" t="s">
        <v>1238</v>
      </c>
      <c r="M649" s="1">
        <v>37851.31</v>
      </c>
      <c r="N649">
        <v>6</v>
      </c>
      <c r="O649" s="2">
        <v>0.3</v>
      </c>
      <c r="P649" s="1">
        <v>5642.51</v>
      </c>
      <c r="Q649" t="s">
        <v>27</v>
      </c>
      <c r="R649" t="s">
        <v>28</v>
      </c>
    </row>
    <row r="650" spans="1:18" x14ac:dyDescent="0.3">
      <c r="A650">
        <v>1649</v>
      </c>
      <c r="B650" s="3">
        <v>45939</v>
      </c>
      <c r="C650" s="3">
        <v>45940</v>
      </c>
      <c r="D650" t="s">
        <v>1199</v>
      </c>
      <c r="E650" t="s">
        <v>1141</v>
      </c>
      <c r="F650" t="s">
        <v>46</v>
      </c>
      <c r="G650" t="s">
        <v>118</v>
      </c>
      <c r="H650" t="s">
        <v>118</v>
      </c>
      <c r="I650" t="s">
        <v>34</v>
      </c>
      <c r="J650" t="s">
        <v>35</v>
      </c>
      <c r="K650" t="s">
        <v>59</v>
      </c>
      <c r="L650" t="s">
        <v>1239</v>
      </c>
      <c r="M650" s="1">
        <v>45133.55</v>
      </c>
      <c r="N650">
        <v>6</v>
      </c>
      <c r="O650" s="2">
        <v>0.05</v>
      </c>
      <c r="P650" s="1">
        <v>9483.2000000000007</v>
      </c>
      <c r="Q650" t="s">
        <v>67</v>
      </c>
      <c r="R650" t="s">
        <v>39</v>
      </c>
    </row>
    <row r="651" spans="1:18" x14ac:dyDescent="0.3">
      <c r="A651">
        <v>1650</v>
      </c>
      <c r="B651" s="3">
        <v>45724</v>
      </c>
      <c r="C651" s="3">
        <v>45727</v>
      </c>
      <c r="D651" t="s">
        <v>75</v>
      </c>
      <c r="E651" t="s">
        <v>998</v>
      </c>
      <c r="F651" t="s">
        <v>31</v>
      </c>
      <c r="G651" t="s">
        <v>32</v>
      </c>
      <c r="H651" t="s">
        <v>33</v>
      </c>
      <c r="I651" t="s">
        <v>34</v>
      </c>
      <c r="J651" t="s">
        <v>24</v>
      </c>
      <c r="K651" t="s">
        <v>50</v>
      </c>
      <c r="L651" t="s">
        <v>1240</v>
      </c>
      <c r="M651" s="1">
        <v>81831.77</v>
      </c>
      <c r="N651">
        <v>3</v>
      </c>
      <c r="O651" s="2">
        <v>0.15</v>
      </c>
      <c r="P651" s="1">
        <v>2817.44</v>
      </c>
      <c r="Q651" t="s">
        <v>74</v>
      </c>
      <c r="R651" t="s">
        <v>120</v>
      </c>
    </row>
    <row r="652" spans="1:18" x14ac:dyDescent="0.3">
      <c r="A652">
        <v>1651</v>
      </c>
      <c r="B652" s="3">
        <v>45903</v>
      </c>
      <c r="C652" s="3">
        <v>45908</v>
      </c>
      <c r="D652" t="s">
        <v>256</v>
      </c>
      <c r="E652" t="s">
        <v>227</v>
      </c>
      <c r="F652" t="s">
        <v>31</v>
      </c>
      <c r="G652" t="s">
        <v>107</v>
      </c>
      <c r="H652" t="s">
        <v>108</v>
      </c>
      <c r="I652" t="s">
        <v>34</v>
      </c>
      <c r="J652" t="s">
        <v>35</v>
      </c>
      <c r="K652" t="s">
        <v>36</v>
      </c>
      <c r="L652" t="s">
        <v>1241</v>
      </c>
      <c r="M652" s="1">
        <v>37929.870000000003</v>
      </c>
      <c r="N652">
        <v>4</v>
      </c>
      <c r="O652" s="2">
        <v>0.05</v>
      </c>
      <c r="P652" s="1">
        <v>6967.84</v>
      </c>
      <c r="Q652" t="s">
        <v>67</v>
      </c>
      <c r="R652" t="s">
        <v>53</v>
      </c>
    </row>
    <row r="653" spans="1:18" x14ac:dyDescent="0.3">
      <c r="A653">
        <v>1652</v>
      </c>
      <c r="B653" s="3">
        <v>45803</v>
      </c>
      <c r="C653" s="3">
        <v>45805</v>
      </c>
      <c r="D653" t="s">
        <v>891</v>
      </c>
      <c r="E653" t="s">
        <v>1242</v>
      </c>
      <c r="F653" t="s">
        <v>31</v>
      </c>
      <c r="G653" t="s">
        <v>112</v>
      </c>
      <c r="H653" t="s">
        <v>113</v>
      </c>
      <c r="I653" t="s">
        <v>49</v>
      </c>
      <c r="J653" t="s">
        <v>24</v>
      </c>
      <c r="K653" t="s">
        <v>224</v>
      </c>
      <c r="L653" t="s">
        <v>1243</v>
      </c>
      <c r="M653" s="1">
        <v>54860.92</v>
      </c>
      <c r="N653">
        <v>2</v>
      </c>
      <c r="O653" s="2">
        <v>0.15</v>
      </c>
      <c r="P653" s="1">
        <v>6360.82</v>
      </c>
      <c r="Q653" t="s">
        <v>82</v>
      </c>
      <c r="R653" t="s">
        <v>120</v>
      </c>
    </row>
    <row r="654" spans="1:18" x14ac:dyDescent="0.3">
      <c r="A654">
        <v>1653</v>
      </c>
      <c r="B654" s="3">
        <v>45598</v>
      </c>
      <c r="C654" s="3">
        <v>45604</v>
      </c>
      <c r="D654" t="s">
        <v>193</v>
      </c>
      <c r="E654" t="s">
        <v>432</v>
      </c>
      <c r="F654" t="s">
        <v>46</v>
      </c>
      <c r="G654" t="s">
        <v>47</v>
      </c>
      <c r="H654" t="s">
        <v>48</v>
      </c>
      <c r="I654" t="s">
        <v>49</v>
      </c>
      <c r="J654" t="s">
        <v>24</v>
      </c>
      <c r="K654" t="s">
        <v>224</v>
      </c>
      <c r="L654" t="s">
        <v>1244</v>
      </c>
      <c r="M654" s="1">
        <v>6676.02</v>
      </c>
      <c r="N654">
        <v>1</v>
      </c>
      <c r="O654" s="2">
        <v>0.25</v>
      </c>
      <c r="P654" s="1">
        <v>709.03</v>
      </c>
      <c r="Q654" t="s">
        <v>38</v>
      </c>
      <c r="R654" t="s">
        <v>39</v>
      </c>
    </row>
    <row r="655" spans="1:18" x14ac:dyDescent="0.3">
      <c r="A655">
        <v>1654</v>
      </c>
      <c r="B655" s="3">
        <v>45428</v>
      </c>
      <c r="C655" s="3">
        <v>45431</v>
      </c>
      <c r="D655" t="s">
        <v>272</v>
      </c>
      <c r="E655" t="s">
        <v>1245</v>
      </c>
      <c r="F655" t="s">
        <v>46</v>
      </c>
      <c r="G655" t="s">
        <v>56</v>
      </c>
      <c r="H655" t="s">
        <v>57</v>
      </c>
      <c r="I655" t="s">
        <v>58</v>
      </c>
      <c r="J655" t="s">
        <v>35</v>
      </c>
      <c r="K655" t="s">
        <v>59</v>
      </c>
      <c r="L655" t="s">
        <v>1246</v>
      </c>
      <c r="M655" s="1">
        <v>38613.47</v>
      </c>
      <c r="N655">
        <v>6</v>
      </c>
      <c r="O655" s="2">
        <v>0.05</v>
      </c>
      <c r="P655" s="1">
        <v>4497.68</v>
      </c>
      <c r="Q655" t="s">
        <v>52</v>
      </c>
      <c r="R655" t="s">
        <v>120</v>
      </c>
    </row>
    <row r="656" spans="1:18" x14ac:dyDescent="0.3">
      <c r="A656">
        <v>1655</v>
      </c>
      <c r="B656" s="3">
        <v>45832</v>
      </c>
      <c r="C656" s="3">
        <v>45838</v>
      </c>
      <c r="D656" t="s">
        <v>100</v>
      </c>
      <c r="E656" t="s">
        <v>1074</v>
      </c>
      <c r="F656" t="s">
        <v>46</v>
      </c>
      <c r="G656" t="s">
        <v>118</v>
      </c>
      <c r="H656" t="s">
        <v>118</v>
      </c>
      <c r="I656" t="s">
        <v>34</v>
      </c>
      <c r="J656" t="s">
        <v>35</v>
      </c>
      <c r="K656" t="s">
        <v>59</v>
      </c>
      <c r="L656" t="s">
        <v>1247</v>
      </c>
      <c r="M656" s="1">
        <v>65324.47</v>
      </c>
      <c r="N656">
        <v>8</v>
      </c>
      <c r="O656" s="2">
        <v>0.1</v>
      </c>
      <c r="P656" s="1">
        <v>8670.44</v>
      </c>
      <c r="Q656" t="s">
        <v>38</v>
      </c>
      <c r="R656" t="s">
        <v>28</v>
      </c>
    </row>
    <row r="657" spans="1:18" x14ac:dyDescent="0.3">
      <c r="A657">
        <v>1656</v>
      </c>
      <c r="B657" s="3">
        <v>45317</v>
      </c>
      <c r="C657" s="3">
        <v>45323</v>
      </c>
      <c r="D657" t="s">
        <v>440</v>
      </c>
      <c r="E657" t="s">
        <v>252</v>
      </c>
      <c r="F657" t="s">
        <v>31</v>
      </c>
      <c r="G657" t="s">
        <v>112</v>
      </c>
      <c r="H657" t="s">
        <v>113</v>
      </c>
      <c r="I657" t="s">
        <v>49</v>
      </c>
      <c r="J657" t="s">
        <v>35</v>
      </c>
      <c r="K657" t="s">
        <v>129</v>
      </c>
      <c r="L657" t="s">
        <v>1248</v>
      </c>
      <c r="M657" s="1">
        <v>33397.81</v>
      </c>
      <c r="N657">
        <v>4</v>
      </c>
      <c r="O657" s="2">
        <v>0.3</v>
      </c>
      <c r="P657" s="1">
        <v>4817.78</v>
      </c>
      <c r="Q657" t="s">
        <v>115</v>
      </c>
      <c r="R657" t="s">
        <v>39</v>
      </c>
    </row>
    <row r="658" spans="1:18" x14ac:dyDescent="0.3">
      <c r="A658">
        <v>1657</v>
      </c>
      <c r="B658" s="3">
        <v>45732</v>
      </c>
      <c r="C658" s="3">
        <v>45733</v>
      </c>
      <c r="D658" t="s">
        <v>929</v>
      </c>
      <c r="E658" t="s">
        <v>1249</v>
      </c>
      <c r="F658" t="s">
        <v>20</v>
      </c>
      <c r="G658" t="s">
        <v>70</v>
      </c>
      <c r="H658" t="s">
        <v>71</v>
      </c>
      <c r="I658" t="s">
        <v>58</v>
      </c>
      <c r="J658" t="s">
        <v>35</v>
      </c>
      <c r="K658" t="s">
        <v>59</v>
      </c>
      <c r="L658" t="s">
        <v>1250</v>
      </c>
      <c r="M658" s="1">
        <v>84252.3</v>
      </c>
      <c r="N658">
        <v>4</v>
      </c>
      <c r="O658" s="2">
        <v>0.05</v>
      </c>
      <c r="P658" s="1">
        <v>17705.27</v>
      </c>
      <c r="Q658" t="s">
        <v>27</v>
      </c>
      <c r="R658" t="s">
        <v>53</v>
      </c>
    </row>
    <row r="659" spans="1:18" x14ac:dyDescent="0.3">
      <c r="A659">
        <v>1658</v>
      </c>
      <c r="B659" s="3">
        <v>45654</v>
      </c>
      <c r="C659" s="3">
        <v>45660</v>
      </c>
      <c r="D659" t="s">
        <v>1236</v>
      </c>
      <c r="E659" t="s">
        <v>1251</v>
      </c>
      <c r="F659" t="s">
        <v>46</v>
      </c>
      <c r="G659" t="s">
        <v>95</v>
      </c>
      <c r="H659" t="s">
        <v>22</v>
      </c>
      <c r="I659" t="s">
        <v>23</v>
      </c>
      <c r="J659" t="s">
        <v>64</v>
      </c>
      <c r="K659" t="s">
        <v>104</v>
      </c>
      <c r="L659" t="s">
        <v>1252</v>
      </c>
      <c r="M659" s="1">
        <v>34262.21</v>
      </c>
      <c r="N659">
        <v>2</v>
      </c>
      <c r="O659" s="2">
        <v>0.3</v>
      </c>
      <c r="P659" s="1">
        <v>-1242.6500000000001</v>
      </c>
      <c r="Q659" t="s">
        <v>82</v>
      </c>
      <c r="R659" t="s">
        <v>53</v>
      </c>
    </row>
    <row r="660" spans="1:18" x14ac:dyDescent="0.3">
      <c r="A660">
        <v>1659</v>
      </c>
      <c r="B660" s="3">
        <v>45312</v>
      </c>
      <c r="C660" s="3">
        <v>45315</v>
      </c>
      <c r="D660" t="s">
        <v>702</v>
      </c>
      <c r="E660" t="s">
        <v>1253</v>
      </c>
      <c r="F660" t="s">
        <v>20</v>
      </c>
      <c r="G660" t="s">
        <v>47</v>
      </c>
      <c r="H660" t="s">
        <v>48</v>
      </c>
      <c r="I660" t="s">
        <v>49</v>
      </c>
      <c r="J660" t="s">
        <v>24</v>
      </c>
      <c r="K660" t="s">
        <v>72</v>
      </c>
      <c r="L660" t="s">
        <v>1254</v>
      </c>
      <c r="M660" s="1">
        <v>57514.82</v>
      </c>
      <c r="N660">
        <v>1</v>
      </c>
      <c r="O660" s="2">
        <v>0.2</v>
      </c>
      <c r="P660" s="1">
        <v>9612.93</v>
      </c>
      <c r="Q660" t="s">
        <v>27</v>
      </c>
      <c r="R660" t="s">
        <v>39</v>
      </c>
    </row>
    <row r="661" spans="1:18" x14ac:dyDescent="0.3">
      <c r="A661">
        <v>1660</v>
      </c>
      <c r="B661" s="3">
        <v>45457</v>
      </c>
      <c r="C661" s="3">
        <v>45462</v>
      </c>
      <c r="D661" t="s">
        <v>318</v>
      </c>
      <c r="E661" t="s">
        <v>1074</v>
      </c>
      <c r="F661" t="s">
        <v>20</v>
      </c>
      <c r="G661" t="s">
        <v>118</v>
      </c>
      <c r="H661" t="s">
        <v>118</v>
      </c>
      <c r="I661" t="s">
        <v>34</v>
      </c>
      <c r="J661" t="s">
        <v>24</v>
      </c>
      <c r="K661" t="s">
        <v>212</v>
      </c>
      <c r="L661" t="s">
        <v>1255</v>
      </c>
      <c r="M661" s="1">
        <v>50029.47</v>
      </c>
      <c r="N661">
        <v>6</v>
      </c>
      <c r="O661" s="2">
        <v>0.2</v>
      </c>
      <c r="P661" s="1">
        <v>5326.49</v>
      </c>
      <c r="Q661" t="s">
        <v>27</v>
      </c>
      <c r="R661" t="s">
        <v>120</v>
      </c>
    </row>
    <row r="662" spans="1:18" x14ac:dyDescent="0.3">
      <c r="A662">
        <v>1661</v>
      </c>
      <c r="B662" s="3">
        <v>45306</v>
      </c>
      <c r="C662" s="3">
        <v>45307</v>
      </c>
      <c r="D662" t="s">
        <v>860</v>
      </c>
      <c r="E662" t="s">
        <v>1015</v>
      </c>
      <c r="F662" t="s">
        <v>20</v>
      </c>
      <c r="G662" t="s">
        <v>85</v>
      </c>
      <c r="H662" t="s">
        <v>86</v>
      </c>
      <c r="I662" t="s">
        <v>49</v>
      </c>
      <c r="J662" t="s">
        <v>24</v>
      </c>
      <c r="K662" t="s">
        <v>50</v>
      </c>
      <c r="L662" t="s">
        <v>1256</v>
      </c>
      <c r="M662" s="1">
        <v>12285.48</v>
      </c>
      <c r="N662">
        <v>2</v>
      </c>
      <c r="O662" s="2">
        <v>0.3</v>
      </c>
      <c r="P662" s="1">
        <v>1963.38</v>
      </c>
      <c r="Q662" t="s">
        <v>38</v>
      </c>
      <c r="R662" t="s">
        <v>28</v>
      </c>
    </row>
    <row r="663" spans="1:18" x14ac:dyDescent="0.3">
      <c r="A663">
        <v>1662</v>
      </c>
      <c r="B663" s="3">
        <v>45382</v>
      </c>
      <c r="C663" s="3">
        <v>45384</v>
      </c>
      <c r="D663" t="s">
        <v>173</v>
      </c>
      <c r="E663" t="s">
        <v>1210</v>
      </c>
      <c r="F663" t="s">
        <v>46</v>
      </c>
      <c r="G663" t="s">
        <v>85</v>
      </c>
      <c r="H663" t="s">
        <v>86</v>
      </c>
      <c r="I663" t="s">
        <v>49</v>
      </c>
      <c r="J663" t="s">
        <v>64</v>
      </c>
      <c r="K663" t="s">
        <v>80</v>
      </c>
      <c r="L663" t="s">
        <v>1257</v>
      </c>
      <c r="M663" s="1">
        <v>16497.919999999998</v>
      </c>
      <c r="N663">
        <v>10</v>
      </c>
      <c r="O663" s="2">
        <v>0.3</v>
      </c>
      <c r="P663" s="1">
        <v>2489.1</v>
      </c>
      <c r="Q663" t="s">
        <v>52</v>
      </c>
      <c r="R663" t="s">
        <v>120</v>
      </c>
    </row>
    <row r="664" spans="1:18" x14ac:dyDescent="0.3">
      <c r="A664">
        <v>1663</v>
      </c>
      <c r="B664" s="3">
        <v>46008</v>
      </c>
      <c r="C664" s="3">
        <v>46013</v>
      </c>
      <c r="D664" t="s">
        <v>446</v>
      </c>
      <c r="E664" t="s">
        <v>1258</v>
      </c>
      <c r="F664" t="s">
        <v>46</v>
      </c>
      <c r="G664" t="s">
        <v>21</v>
      </c>
      <c r="H664" t="s">
        <v>22</v>
      </c>
      <c r="I664" t="s">
        <v>23</v>
      </c>
      <c r="J664" t="s">
        <v>24</v>
      </c>
      <c r="K664" t="s">
        <v>212</v>
      </c>
      <c r="L664" t="s">
        <v>1259</v>
      </c>
      <c r="M664" s="1">
        <v>82761.62</v>
      </c>
      <c r="N664">
        <v>7</v>
      </c>
      <c r="O664" s="2">
        <v>0.1</v>
      </c>
      <c r="P664" s="1">
        <v>12331.01</v>
      </c>
      <c r="Q664" t="s">
        <v>115</v>
      </c>
      <c r="R664" t="s">
        <v>120</v>
      </c>
    </row>
    <row r="665" spans="1:18" x14ac:dyDescent="0.3">
      <c r="A665">
        <v>1664</v>
      </c>
      <c r="B665" s="3">
        <v>45892</v>
      </c>
      <c r="C665" s="3">
        <v>45893</v>
      </c>
      <c r="D665" t="s">
        <v>1260</v>
      </c>
      <c r="E665" t="s">
        <v>299</v>
      </c>
      <c r="F665" t="s">
        <v>31</v>
      </c>
      <c r="G665" t="s">
        <v>56</v>
      </c>
      <c r="H665" t="s">
        <v>57</v>
      </c>
      <c r="I665" t="s">
        <v>58</v>
      </c>
      <c r="J665" t="s">
        <v>35</v>
      </c>
      <c r="K665" t="s">
        <v>36</v>
      </c>
      <c r="L665" t="s">
        <v>1261</v>
      </c>
      <c r="M665" s="1">
        <v>52411.39</v>
      </c>
      <c r="N665">
        <v>3</v>
      </c>
      <c r="O665" s="2">
        <v>0</v>
      </c>
      <c r="P665" s="1">
        <v>6166.31</v>
      </c>
      <c r="Q665" t="s">
        <v>82</v>
      </c>
      <c r="R665" t="s">
        <v>53</v>
      </c>
    </row>
    <row r="666" spans="1:18" x14ac:dyDescent="0.3">
      <c r="A666">
        <v>1665</v>
      </c>
      <c r="B666" s="3">
        <v>45655</v>
      </c>
      <c r="C666" s="3">
        <v>45660</v>
      </c>
      <c r="D666" t="s">
        <v>1136</v>
      </c>
      <c r="E666" t="s">
        <v>427</v>
      </c>
      <c r="F666" t="s">
        <v>20</v>
      </c>
      <c r="G666" t="s">
        <v>70</v>
      </c>
      <c r="H666" t="s">
        <v>71</v>
      </c>
      <c r="I666" t="s">
        <v>58</v>
      </c>
      <c r="J666" t="s">
        <v>24</v>
      </c>
      <c r="K666" t="s">
        <v>50</v>
      </c>
      <c r="L666" t="s">
        <v>1262</v>
      </c>
      <c r="M666" s="1">
        <v>68183.81</v>
      </c>
      <c r="N666">
        <v>9</v>
      </c>
      <c r="O666" s="2">
        <v>0.2</v>
      </c>
      <c r="P666" s="1">
        <v>9902.7800000000007</v>
      </c>
      <c r="Q666" t="s">
        <v>67</v>
      </c>
      <c r="R666" t="s">
        <v>53</v>
      </c>
    </row>
    <row r="667" spans="1:18" x14ac:dyDescent="0.3">
      <c r="A667">
        <v>1666</v>
      </c>
      <c r="B667" s="3">
        <v>45739</v>
      </c>
      <c r="C667" s="3">
        <v>45742</v>
      </c>
      <c r="D667" t="s">
        <v>1216</v>
      </c>
      <c r="E667" t="s">
        <v>303</v>
      </c>
      <c r="F667" t="s">
        <v>31</v>
      </c>
      <c r="G667" t="s">
        <v>90</v>
      </c>
      <c r="H667" t="s">
        <v>91</v>
      </c>
      <c r="I667" t="s">
        <v>23</v>
      </c>
      <c r="J667" t="s">
        <v>24</v>
      </c>
      <c r="K667" t="s">
        <v>72</v>
      </c>
      <c r="L667" t="s">
        <v>1263</v>
      </c>
      <c r="M667" s="1">
        <v>81042.570000000007</v>
      </c>
      <c r="N667">
        <v>3</v>
      </c>
      <c r="O667" s="2">
        <v>0.05</v>
      </c>
      <c r="P667" s="1">
        <v>17333.57</v>
      </c>
      <c r="Q667" t="s">
        <v>38</v>
      </c>
      <c r="R667" t="s">
        <v>120</v>
      </c>
    </row>
    <row r="668" spans="1:18" x14ac:dyDescent="0.3">
      <c r="A668">
        <v>1667</v>
      </c>
      <c r="B668" s="3">
        <v>45560</v>
      </c>
      <c r="C668" s="3">
        <v>45565</v>
      </c>
      <c r="D668" t="s">
        <v>83</v>
      </c>
      <c r="E668" t="s">
        <v>338</v>
      </c>
      <c r="F668" t="s">
        <v>31</v>
      </c>
      <c r="G668" t="s">
        <v>47</v>
      </c>
      <c r="H668" t="s">
        <v>48</v>
      </c>
      <c r="I668" t="s">
        <v>49</v>
      </c>
      <c r="J668" t="s">
        <v>64</v>
      </c>
      <c r="K668" t="s">
        <v>188</v>
      </c>
      <c r="L668" t="s">
        <v>1264</v>
      </c>
      <c r="M668" s="1">
        <v>71273.259999999995</v>
      </c>
      <c r="N668">
        <v>4</v>
      </c>
      <c r="O668" s="2">
        <v>0.05</v>
      </c>
      <c r="P668" s="1">
        <v>6931.59</v>
      </c>
      <c r="Q668" t="s">
        <v>74</v>
      </c>
      <c r="R668" t="s">
        <v>39</v>
      </c>
    </row>
    <row r="669" spans="1:18" x14ac:dyDescent="0.3">
      <c r="A669">
        <v>1668</v>
      </c>
      <c r="B669" s="3">
        <v>46004</v>
      </c>
      <c r="C669" s="3">
        <v>46009</v>
      </c>
      <c r="D669" t="s">
        <v>518</v>
      </c>
      <c r="E669" t="s">
        <v>979</v>
      </c>
      <c r="F669" t="s">
        <v>20</v>
      </c>
      <c r="G669" t="s">
        <v>112</v>
      </c>
      <c r="H669" t="s">
        <v>113</v>
      </c>
      <c r="I669" t="s">
        <v>49</v>
      </c>
      <c r="J669" t="s">
        <v>64</v>
      </c>
      <c r="K669" t="s">
        <v>104</v>
      </c>
      <c r="L669" t="s">
        <v>1265</v>
      </c>
      <c r="M669" s="1">
        <v>64156.57</v>
      </c>
      <c r="N669">
        <v>9</v>
      </c>
      <c r="O669" s="2">
        <v>0.15</v>
      </c>
      <c r="P669" s="1">
        <v>9392.8700000000008</v>
      </c>
      <c r="Q669" t="s">
        <v>82</v>
      </c>
      <c r="R669" t="s">
        <v>28</v>
      </c>
    </row>
    <row r="670" spans="1:18" x14ac:dyDescent="0.3">
      <c r="A670">
        <v>1669</v>
      </c>
      <c r="B670" s="3">
        <v>45718</v>
      </c>
      <c r="C670" s="3">
        <v>45719</v>
      </c>
      <c r="D670" t="s">
        <v>1266</v>
      </c>
      <c r="E670" t="s">
        <v>1180</v>
      </c>
      <c r="F670" t="s">
        <v>20</v>
      </c>
      <c r="G670" t="s">
        <v>47</v>
      </c>
      <c r="H670" t="s">
        <v>48</v>
      </c>
      <c r="I670" t="s">
        <v>49</v>
      </c>
      <c r="J670" t="s">
        <v>64</v>
      </c>
      <c r="K670" t="s">
        <v>80</v>
      </c>
      <c r="L670" t="s">
        <v>1267</v>
      </c>
      <c r="M670" s="1">
        <v>15237.28</v>
      </c>
      <c r="N670">
        <v>4</v>
      </c>
      <c r="O670" s="2">
        <v>0.25</v>
      </c>
      <c r="P670" s="1">
        <v>256.27999999999997</v>
      </c>
      <c r="Q670" t="s">
        <v>67</v>
      </c>
      <c r="R670" t="s">
        <v>28</v>
      </c>
    </row>
    <row r="671" spans="1:18" x14ac:dyDescent="0.3">
      <c r="A671">
        <v>1670</v>
      </c>
      <c r="B671" s="3">
        <v>45590</v>
      </c>
      <c r="C671" s="3">
        <v>45591</v>
      </c>
      <c r="D671" t="s">
        <v>305</v>
      </c>
      <c r="E671" t="s">
        <v>629</v>
      </c>
      <c r="F671" t="s">
        <v>31</v>
      </c>
      <c r="G671" t="s">
        <v>90</v>
      </c>
      <c r="H671" t="s">
        <v>91</v>
      </c>
      <c r="I671" t="s">
        <v>23</v>
      </c>
      <c r="J671" t="s">
        <v>64</v>
      </c>
      <c r="K671" t="s">
        <v>65</v>
      </c>
      <c r="L671" t="s">
        <v>1268</v>
      </c>
      <c r="M671" s="1">
        <v>52498</v>
      </c>
      <c r="N671">
        <v>10</v>
      </c>
      <c r="O671" s="2">
        <v>0.2</v>
      </c>
      <c r="P671" s="1">
        <v>696.82</v>
      </c>
      <c r="Q671" t="s">
        <v>82</v>
      </c>
      <c r="R671" t="s">
        <v>53</v>
      </c>
    </row>
    <row r="672" spans="1:18" x14ac:dyDescent="0.3">
      <c r="A672">
        <v>1671</v>
      </c>
      <c r="B672" s="3">
        <v>45595</v>
      </c>
      <c r="C672" s="3">
        <v>45601</v>
      </c>
      <c r="D672" t="s">
        <v>700</v>
      </c>
      <c r="E672" t="s">
        <v>416</v>
      </c>
      <c r="F672" t="s">
        <v>31</v>
      </c>
      <c r="G672" t="s">
        <v>118</v>
      </c>
      <c r="H672" t="s">
        <v>118</v>
      </c>
      <c r="I672" t="s">
        <v>34</v>
      </c>
      <c r="J672" t="s">
        <v>64</v>
      </c>
      <c r="K672" t="s">
        <v>80</v>
      </c>
      <c r="L672" t="s">
        <v>1269</v>
      </c>
      <c r="M672" s="1">
        <v>53128.29</v>
      </c>
      <c r="N672">
        <v>7</v>
      </c>
      <c r="O672" s="2">
        <v>0.25</v>
      </c>
      <c r="P672" s="1">
        <v>4215.22</v>
      </c>
      <c r="Q672" t="s">
        <v>67</v>
      </c>
      <c r="R672" t="s">
        <v>28</v>
      </c>
    </row>
    <row r="673" spans="1:18" x14ac:dyDescent="0.3">
      <c r="A673">
        <v>1672</v>
      </c>
      <c r="B673" s="3">
        <v>45651</v>
      </c>
      <c r="C673" s="3">
        <v>45652</v>
      </c>
      <c r="D673" t="s">
        <v>1199</v>
      </c>
      <c r="E673" t="s">
        <v>55</v>
      </c>
      <c r="F673" t="s">
        <v>46</v>
      </c>
      <c r="G673" t="s">
        <v>56</v>
      </c>
      <c r="H673" t="s">
        <v>57</v>
      </c>
      <c r="I673" t="s">
        <v>58</v>
      </c>
      <c r="J673" t="s">
        <v>64</v>
      </c>
      <c r="K673" t="s">
        <v>80</v>
      </c>
      <c r="L673" t="s">
        <v>1270</v>
      </c>
      <c r="M673" s="1">
        <v>71135.990000000005</v>
      </c>
      <c r="N673">
        <v>9</v>
      </c>
      <c r="O673" s="2">
        <v>0.15</v>
      </c>
      <c r="P673" s="1">
        <v>9923.31</v>
      </c>
      <c r="Q673" t="s">
        <v>52</v>
      </c>
      <c r="R673" t="s">
        <v>120</v>
      </c>
    </row>
    <row r="674" spans="1:18" x14ac:dyDescent="0.3">
      <c r="A674">
        <v>1673</v>
      </c>
      <c r="B674" s="3">
        <v>45661</v>
      </c>
      <c r="C674" s="3">
        <v>45665</v>
      </c>
      <c r="D674" t="s">
        <v>1059</v>
      </c>
      <c r="E674" t="s">
        <v>200</v>
      </c>
      <c r="F674" t="s">
        <v>46</v>
      </c>
      <c r="G674" t="s">
        <v>56</v>
      </c>
      <c r="H674" t="s">
        <v>57</v>
      </c>
      <c r="I674" t="s">
        <v>58</v>
      </c>
      <c r="J674" t="s">
        <v>35</v>
      </c>
      <c r="K674" t="s">
        <v>42</v>
      </c>
      <c r="L674" t="s">
        <v>1271</v>
      </c>
      <c r="M674" s="1">
        <v>83784.210000000006</v>
      </c>
      <c r="N674">
        <v>6</v>
      </c>
      <c r="O674" s="2">
        <v>0.25</v>
      </c>
      <c r="P674" s="1">
        <v>10204.74</v>
      </c>
      <c r="Q674" t="s">
        <v>27</v>
      </c>
      <c r="R674" t="s">
        <v>53</v>
      </c>
    </row>
    <row r="675" spans="1:18" x14ac:dyDescent="0.3">
      <c r="A675">
        <v>1674</v>
      </c>
      <c r="B675" s="3">
        <v>45951</v>
      </c>
      <c r="C675" s="3">
        <v>45953</v>
      </c>
      <c r="D675" t="s">
        <v>1095</v>
      </c>
      <c r="E675" t="s">
        <v>1141</v>
      </c>
      <c r="F675" t="s">
        <v>31</v>
      </c>
      <c r="G675" t="s">
        <v>21</v>
      </c>
      <c r="H675" t="s">
        <v>22</v>
      </c>
      <c r="I675" t="s">
        <v>23</v>
      </c>
      <c r="J675" t="s">
        <v>24</v>
      </c>
      <c r="K675" t="s">
        <v>72</v>
      </c>
      <c r="L675" t="s">
        <v>1272</v>
      </c>
      <c r="M675" s="1">
        <v>31569.919999999998</v>
      </c>
      <c r="N675">
        <v>8</v>
      </c>
      <c r="O675" s="2">
        <v>0.05</v>
      </c>
      <c r="P675" s="1">
        <v>4273.6499999999996</v>
      </c>
      <c r="Q675" t="s">
        <v>52</v>
      </c>
      <c r="R675" t="s">
        <v>39</v>
      </c>
    </row>
    <row r="676" spans="1:18" x14ac:dyDescent="0.3">
      <c r="A676">
        <v>1675</v>
      </c>
      <c r="B676" s="3">
        <v>45834</v>
      </c>
      <c r="C676" s="3">
        <v>45835</v>
      </c>
      <c r="D676" t="s">
        <v>1216</v>
      </c>
      <c r="E676" t="s">
        <v>719</v>
      </c>
      <c r="F676" t="s">
        <v>31</v>
      </c>
      <c r="G676" t="s">
        <v>32</v>
      </c>
      <c r="H676" t="s">
        <v>33</v>
      </c>
      <c r="I676" t="s">
        <v>34</v>
      </c>
      <c r="J676" t="s">
        <v>35</v>
      </c>
      <c r="K676" t="s">
        <v>129</v>
      </c>
      <c r="L676" t="s">
        <v>1273</v>
      </c>
      <c r="M676" s="1">
        <v>77353.45</v>
      </c>
      <c r="N676">
        <v>7</v>
      </c>
      <c r="O676" s="2">
        <v>0.1</v>
      </c>
      <c r="P676" s="1">
        <v>10435.74</v>
      </c>
      <c r="Q676" t="s">
        <v>61</v>
      </c>
      <c r="R676" t="s">
        <v>39</v>
      </c>
    </row>
    <row r="677" spans="1:18" x14ac:dyDescent="0.3">
      <c r="A677">
        <v>1676</v>
      </c>
      <c r="B677" s="3">
        <v>45338</v>
      </c>
      <c r="C677" s="3">
        <v>45341</v>
      </c>
      <c r="D677" t="s">
        <v>700</v>
      </c>
      <c r="E677" t="s">
        <v>1072</v>
      </c>
      <c r="F677" t="s">
        <v>20</v>
      </c>
      <c r="G677" t="s">
        <v>70</v>
      </c>
      <c r="H677" t="s">
        <v>71</v>
      </c>
      <c r="I677" t="s">
        <v>58</v>
      </c>
      <c r="J677" t="s">
        <v>64</v>
      </c>
      <c r="K677" t="s">
        <v>80</v>
      </c>
      <c r="L677" t="s">
        <v>1274</v>
      </c>
      <c r="M677" s="1">
        <v>30964.47</v>
      </c>
      <c r="N677">
        <v>6</v>
      </c>
      <c r="O677" s="2">
        <v>0.05</v>
      </c>
      <c r="P677" s="1">
        <v>5367.58</v>
      </c>
      <c r="Q677" t="s">
        <v>115</v>
      </c>
      <c r="R677" t="s">
        <v>120</v>
      </c>
    </row>
    <row r="678" spans="1:18" x14ac:dyDescent="0.3">
      <c r="A678">
        <v>1677</v>
      </c>
      <c r="B678" s="3">
        <v>45527</v>
      </c>
      <c r="C678" s="3">
        <v>45529</v>
      </c>
      <c r="D678" t="s">
        <v>1275</v>
      </c>
      <c r="E678" t="s">
        <v>930</v>
      </c>
      <c r="F678" t="s">
        <v>31</v>
      </c>
      <c r="G678" t="s">
        <v>32</v>
      </c>
      <c r="H678" t="s">
        <v>33</v>
      </c>
      <c r="I678" t="s">
        <v>34</v>
      </c>
      <c r="J678" t="s">
        <v>35</v>
      </c>
      <c r="K678" t="s">
        <v>42</v>
      </c>
      <c r="L678" t="s">
        <v>1276</v>
      </c>
      <c r="M678" s="1">
        <v>77105.05</v>
      </c>
      <c r="N678">
        <v>4</v>
      </c>
      <c r="O678" s="2">
        <v>0.15</v>
      </c>
      <c r="P678" s="1">
        <v>6187.92</v>
      </c>
      <c r="Q678" t="s">
        <v>52</v>
      </c>
      <c r="R678" t="s">
        <v>28</v>
      </c>
    </row>
    <row r="679" spans="1:18" x14ac:dyDescent="0.3">
      <c r="A679">
        <v>1678</v>
      </c>
      <c r="B679" s="3">
        <v>45966</v>
      </c>
      <c r="C679" s="3">
        <v>45969</v>
      </c>
      <c r="D679" t="s">
        <v>822</v>
      </c>
      <c r="E679" t="s">
        <v>659</v>
      </c>
      <c r="F679" t="s">
        <v>46</v>
      </c>
      <c r="G679" t="s">
        <v>90</v>
      </c>
      <c r="H679" t="s">
        <v>91</v>
      </c>
      <c r="I679" t="s">
        <v>23</v>
      </c>
      <c r="J679" t="s">
        <v>64</v>
      </c>
      <c r="K679" t="s">
        <v>104</v>
      </c>
      <c r="L679" t="s">
        <v>1277</v>
      </c>
      <c r="M679" s="1">
        <v>69338.52</v>
      </c>
      <c r="N679">
        <v>9</v>
      </c>
      <c r="O679" s="2">
        <v>0.1</v>
      </c>
      <c r="P679" s="1">
        <v>10835.19</v>
      </c>
      <c r="Q679" t="s">
        <v>74</v>
      </c>
      <c r="R679" t="s">
        <v>39</v>
      </c>
    </row>
    <row r="680" spans="1:18" x14ac:dyDescent="0.3">
      <c r="A680">
        <v>1679</v>
      </c>
      <c r="B680" s="3">
        <v>45387</v>
      </c>
      <c r="C680" s="3">
        <v>45393</v>
      </c>
      <c r="D680" t="s">
        <v>1275</v>
      </c>
      <c r="E680" t="s">
        <v>809</v>
      </c>
      <c r="F680" t="s">
        <v>31</v>
      </c>
      <c r="G680" t="s">
        <v>95</v>
      </c>
      <c r="H680" t="s">
        <v>22</v>
      </c>
      <c r="I680" t="s">
        <v>23</v>
      </c>
      <c r="J680" t="s">
        <v>24</v>
      </c>
      <c r="K680" t="s">
        <v>224</v>
      </c>
      <c r="L680" t="s">
        <v>1278</v>
      </c>
      <c r="M680" s="1">
        <v>17347.52</v>
      </c>
      <c r="N680">
        <v>4</v>
      </c>
      <c r="O680" s="2">
        <v>0.05</v>
      </c>
      <c r="P680" s="1">
        <v>1176.3399999999999</v>
      </c>
      <c r="Q680" t="s">
        <v>27</v>
      </c>
      <c r="R680" t="s">
        <v>53</v>
      </c>
    </row>
    <row r="681" spans="1:18" x14ac:dyDescent="0.3">
      <c r="A681">
        <v>1680</v>
      </c>
      <c r="B681" s="3">
        <v>45389</v>
      </c>
      <c r="C681" s="3">
        <v>45390</v>
      </c>
      <c r="D681" t="s">
        <v>155</v>
      </c>
      <c r="E681" t="s">
        <v>626</v>
      </c>
      <c r="F681" t="s">
        <v>46</v>
      </c>
      <c r="G681" t="s">
        <v>85</v>
      </c>
      <c r="H681" t="s">
        <v>86</v>
      </c>
      <c r="I681" t="s">
        <v>49</v>
      </c>
      <c r="J681" t="s">
        <v>64</v>
      </c>
      <c r="K681" t="s">
        <v>65</v>
      </c>
      <c r="L681" t="s">
        <v>1279</v>
      </c>
      <c r="M681" s="1">
        <v>89218.33</v>
      </c>
      <c r="N681">
        <v>9</v>
      </c>
      <c r="O681" s="2">
        <v>0.2</v>
      </c>
      <c r="P681" s="1">
        <v>15283.17</v>
      </c>
      <c r="Q681" t="s">
        <v>115</v>
      </c>
      <c r="R681" t="s">
        <v>53</v>
      </c>
    </row>
    <row r="682" spans="1:18" x14ac:dyDescent="0.3">
      <c r="A682">
        <v>1681</v>
      </c>
      <c r="B682" s="3">
        <v>45560</v>
      </c>
      <c r="C682" s="3">
        <v>45565</v>
      </c>
      <c r="D682" t="s">
        <v>183</v>
      </c>
      <c r="E682" t="s">
        <v>281</v>
      </c>
      <c r="F682" t="s">
        <v>20</v>
      </c>
      <c r="G682" t="s">
        <v>102</v>
      </c>
      <c r="H682" t="s">
        <v>103</v>
      </c>
      <c r="I682" t="s">
        <v>58</v>
      </c>
      <c r="J682" t="s">
        <v>35</v>
      </c>
      <c r="K682" t="s">
        <v>36</v>
      </c>
      <c r="L682" t="s">
        <v>1280</v>
      </c>
      <c r="M682" s="1">
        <v>58915.32</v>
      </c>
      <c r="N682">
        <v>7</v>
      </c>
      <c r="O682" s="2">
        <v>0.25</v>
      </c>
      <c r="P682" s="1">
        <v>4308.97</v>
      </c>
      <c r="Q682" t="s">
        <v>52</v>
      </c>
      <c r="R682" t="s">
        <v>120</v>
      </c>
    </row>
    <row r="683" spans="1:18" x14ac:dyDescent="0.3">
      <c r="A683">
        <v>1682</v>
      </c>
      <c r="B683" s="3">
        <v>45516</v>
      </c>
      <c r="C683" s="3">
        <v>45521</v>
      </c>
      <c r="D683" t="s">
        <v>787</v>
      </c>
      <c r="E683" t="s">
        <v>160</v>
      </c>
      <c r="F683" t="s">
        <v>31</v>
      </c>
      <c r="G683" t="s">
        <v>112</v>
      </c>
      <c r="H683" t="s">
        <v>113</v>
      </c>
      <c r="I683" t="s">
        <v>49</v>
      </c>
      <c r="J683" t="s">
        <v>24</v>
      </c>
      <c r="K683" t="s">
        <v>72</v>
      </c>
      <c r="L683" t="s">
        <v>1281</v>
      </c>
      <c r="M683" s="1">
        <v>53880.38</v>
      </c>
      <c r="N683">
        <v>1</v>
      </c>
      <c r="O683" s="2">
        <v>0.3</v>
      </c>
      <c r="P683" s="1">
        <v>6829.81</v>
      </c>
      <c r="Q683" t="s">
        <v>82</v>
      </c>
      <c r="R683" t="s">
        <v>28</v>
      </c>
    </row>
    <row r="684" spans="1:18" x14ac:dyDescent="0.3">
      <c r="A684">
        <v>1683</v>
      </c>
      <c r="B684" s="3">
        <v>45638</v>
      </c>
      <c r="C684" s="3">
        <v>45639</v>
      </c>
      <c r="D684" t="s">
        <v>907</v>
      </c>
      <c r="E684" t="s">
        <v>89</v>
      </c>
      <c r="F684" t="s">
        <v>46</v>
      </c>
      <c r="G684" t="s">
        <v>85</v>
      </c>
      <c r="H684" t="s">
        <v>86</v>
      </c>
      <c r="I684" t="s">
        <v>49</v>
      </c>
      <c r="J684" t="s">
        <v>64</v>
      </c>
      <c r="K684" t="s">
        <v>80</v>
      </c>
      <c r="L684" t="s">
        <v>1282</v>
      </c>
      <c r="M684" s="1">
        <v>40437.71</v>
      </c>
      <c r="N684">
        <v>9</v>
      </c>
      <c r="O684" s="2">
        <v>0.1</v>
      </c>
      <c r="P684" s="1">
        <v>4430.21</v>
      </c>
      <c r="Q684" t="s">
        <v>27</v>
      </c>
      <c r="R684" t="s">
        <v>53</v>
      </c>
    </row>
    <row r="685" spans="1:18" x14ac:dyDescent="0.3">
      <c r="A685">
        <v>1684</v>
      </c>
      <c r="B685" s="3">
        <v>45929</v>
      </c>
      <c r="C685" s="3">
        <v>45930</v>
      </c>
      <c r="D685" t="s">
        <v>515</v>
      </c>
      <c r="E685" t="s">
        <v>171</v>
      </c>
      <c r="F685" t="s">
        <v>20</v>
      </c>
      <c r="G685" t="s">
        <v>70</v>
      </c>
      <c r="H685" t="s">
        <v>71</v>
      </c>
      <c r="I685" t="s">
        <v>58</v>
      </c>
      <c r="J685" t="s">
        <v>64</v>
      </c>
      <c r="K685" t="s">
        <v>65</v>
      </c>
      <c r="L685" t="s">
        <v>1283</v>
      </c>
      <c r="M685" s="1">
        <v>1011.99</v>
      </c>
      <c r="N685">
        <v>5</v>
      </c>
      <c r="O685" s="2">
        <v>0</v>
      </c>
      <c r="P685" s="1">
        <v>150.46</v>
      </c>
      <c r="Q685" t="s">
        <v>61</v>
      </c>
      <c r="R685" t="s">
        <v>28</v>
      </c>
    </row>
    <row r="686" spans="1:18" x14ac:dyDescent="0.3">
      <c r="A686">
        <v>1685</v>
      </c>
      <c r="B686" s="3">
        <v>46018</v>
      </c>
      <c r="C686" s="3">
        <v>46020</v>
      </c>
      <c r="D686" t="s">
        <v>857</v>
      </c>
      <c r="E686" t="s">
        <v>662</v>
      </c>
      <c r="F686" t="s">
        <v>46</v>
      </c>
      <c r="G686" t="s">
        <v>21</v>
      </c>
      <c r="H686" t="s">
        <v>22</v>
      </c>
      <c r="I686" t="s">
        <v>23</v>
      </c>
      <c r="J686" t="s">
        <v>64</v>
      </c>
      <c r="K686" t="s">
        <v>80</v>
      </c>
      <c r="L686" t="s">
        <v>1284</v>
      </c>
      <c r="M686" s="1">
        <v>62064.73</v>
      </c>
      <c r="N686">
        <v>6</v>
      </c>
      <c r="O686" s="2">
        <v>0.25</v>
      </c>
      <c r="P686" s="1">
        <v>6607.79</v>
      </c>
      <c r="Q686" t="s">
        <v>27</v>
      </c>
      <c r="R686" t="s">
        <v>53</v>
      </c>
    </row>
    <row r="687" spans="1:18" x14ac:dyDescent="0.3">
      <c r="A687">
        <v>1686</v>
      </c>
      <c r="B687" s="3">
        <v>45325</v>
      </c>
      <c r="C687" s="3">
        <v>45330</v>
      </c>
      <c r="D687" t="s">
        <v>402</v>
      </c>
      <c r="E687" t="s">
        <v>694</v>
      </c>
      <c r="F687" t="s">
        <v>20</v>
      </c>
      <c r="G687" t="s">
        <v>90</v>
      </c>
      <c r="H687" t="s">
        <v>91</v>
      </c>
      <c r="I687" t="s">
        <v>23</v>
      </c>
      <c r="J687" t="s">
        <v>35</v>
      </c>
      <c r="K687" t="s">
        <v>59</v>
      </c>
      <c r="L687" t="s">
        <v>1285</v>
      </c>
      <c r="M687" s="1">
        <v>68834.070000000007</v>
      </c>
      <c r="N687">
        <v>1</v>
      </c>
      <c r="O687" s="2">
        <v>0.05</v>
      </c>
      <c r="P687" s="1">
        <v>6426.14</v>
      </c>
      <c r="Q687" t="s">
        <v>61</v>
      </c>
      <c r="R687" t="s">
        <v>39</v>
      </c>
    </row>
    <row r="688" spans="1:18" x14ac:dyDescent="0.3">
      <c r="A688">
        <v>1687</v>
      </c>
      <c r="B688" s="3">
        <v>45966</v>
      </c>
      <c r="C688" s="3">
        <v>45969</v>
      </c>
      <c r="D688" t="s">
        <v>1286</v>
      </c>
      <c r="E688" t="s">
        <v>656</v>
      </c>
      <c r="F688" t="s">
        <v>46</v>
      </c>
      <c r="G688" t="s">
        <v>102</v>
      </c>
      <c r="H688" t="s">
        <v>103</v>
      </c>
      <c r="I688" t="s">
        <v>58</v>
      </c>
      <c r="J688" t="s">
        <v>24</v>
      </c>
      <c r="K688" t="s">
        <v>50</v>
      </c>
      <c r="L688" t="s">
        <v>1287</v>
      </c>
      <c r="M688" s="1">
        <v>20578.62</v>
      </c>
      <c r="N688">
        <v>5</v>
      </c>
      <c r="O688" s="2">
        <v>0.25</v>
      </c>
      <c r="P688" s="1">
        <v>1761.11</v>
      </c>
      <c r="Q688" t="s">
        <v>82</v>
      </c>
      <c r="R688" t="s">
        <v>39</v>
      </c>
    </row>
    <row r="689" spans="1:18" x14ac:dyDescent="0.3">
      <c r="A689">
        <v>1688</v>
      </c>
      <c r="B689" s="3">
        <v>45903</v>
      </c>
      <c r="C689" s="3">
        <v>45908</v>
      </c>
      <c r="D689" t="s">
        <v>532</v>
      </c>
      <c r="E689" t="s">
        <v>659</v>
      </c>
      <c r="F689" t="s">
        <v>46</v>
      </c>
      <c r="G689" t="s">
        <v>118</v>
      </c>
      <c r="H689" t="s">
        <v>118</v>
      </c>
      <c r="I689" t="s">
        <v>34</v>
      </c>
      <c r="J689" t="s">
        <v>24</v>
      </c>
      <c r="K689" t="s">
        <v>224</v>
      </c>
      <c r="L689" t="s">
        <v>1288</v>
      </c>
      <c r="M689" s="1">
        <v>45476.28</v>
      </c>
      <c r="N689">
        <v>9</v>
      </c>
      <c r="O689" s="2">
        <v>0.1</v>
      </c>
      <c r="P689" s="1">
        <v>8997.68</v>
      </c>
      <c r="Q689" t="s">
        <v>74</v>
      </c>
      <c r="R689" t="s">
        <v>39</v>
      </c>
    </row>
    <row r="690" spans="1:18" x14ac:dyDescent="0.3">
      <c r="A690">
        <v>1689</v>
      </c>
      <c r="B690" s="3">
        <v>45652</v>
      </c>
      <c r="C690" s="3">
        <v>45653</v>
      </c>
      <c r="D690" t="s">
        <v>1289</v>
      </c>
      <c r="E690" t="s">
        <v>498</v>
      </c>
      <c r="F690" t="s">
        <v>46</v>
      </c>
      <c r="G690" t="s">
        <v>90</v>
      </c>
      <c r="H690" t="s">
        <v>91</v>
      </c>
      <c r="I690" t="s">
        <v>23</v>
      </c>
      <c r="J690" t="s">
        <v>24</v>
      </c>
      <c r="K690" t="s">
        <v>72</v>
      </c>
      <c r="L690" t="s">
        <v>1263</v>
      </c>
      <c r="M690" s="1">
        <v>54690.720000000001</v>
      </c>
      <c r="N690">
        <v>6</v>
      </c>
      <c r="O690" s="2">
        <v>0.05</v>
      </c>
      <c r="P690" s="1">
        <v>10518.67</v>
      </c>
      <c r="Q690" t="s">
        <v>52</v>
      </c>
      <c r="R690" t="s">
        <v>39</v>
      </c>
    </row>
    <row r="691" spans="1:18" x14ac:dyDescent="0.3">
      <c r="A691">
        <v>1690</v>
      </c>
      <c r="B691" s="3">
        <v>45355</v>
      </c>
      <c r="C691" s="3">
        <v>45361</v>
      </c>
      <c r="D691" t="s">
        <v>367</v>
      </c>
      <c r="E691" t="s">
        <v>864</v>
      </c>
      <c r="F691" t="s">
        <v>31</v>
      </c>
      <c r="G691" t="s">
        <v>118</v>
      </c>
      <c r="H691" t="s">
        <v>118</v>
      </c>
      <c r="I691" t="s">
        <v>34</v>
      </c>
      <c r="J691" t="s">
        <v>24</v>
      </c>
      <c r="K691" t="s">
        <v>25</v>
      </c>
      <c r="L691" t="s">
        <v>1290</v>
      </c>
      <c r="M691" s="1">
        <v>14755.3</v>
      </c>
      <c r="N691">
        <v>4</v>
      </c>
      <c r="O691" s="2">
        <v>0.05</v>
      </c>
      <c r="P691" s="1">
        <v>3165.66</v>
      </c>
      <c r="Q691" t="s">
        <v>52</v>
      </c>
      <c r="R691" t="s">
        <v>120</v>
      </c>
    </row>
    <row r="692" spans="1:18" x14ac:dyDescent="0.3">
      <c r="A692">
        <v>1691</v>
      </c>
      <c r="B692" s="3">
        <v>45646</v>
      </c>
      <c r="C692" s="3">
        <v>45650</v>
      </c>
      <c r="D692" t="s">
        <v>1199</v>
      </c>
      <c r="E692" t="s">
        <v>19</v>
      </c>
      <c r="F692" t="s">
        <v>20</v>
      </c>
      <c r="G692" t="s">
        <v>107</v>
      </c>
      <c r="H692" t="s">
        <v>108</v>
      </c>
      <c r="I692" t="s">
        <v>34</v>
      </c>
      <c r="J692" t="s">
        <v>35</v>
      </c>
      <c r="K692" t="s">
        <v>59</v>
      </c>
      <c r="L692" t="s">
        <v>1291</v>
      </c>
      <c r="M692" s="1">
        <v>18175.5</v>
      </c>
      <c r="N692">
        <v>1</v>
      </c>
      <c r="O692" s="2">
        <v>0.1</v>
      </c>
      <c r="P692" s="1">
        <v>3098.59</v>
      </c>
      <c r="Q692" t="s">
        <v>67</v>
      </c>
      <c r="R692" t="s">
        <v>53</v>
      </c>
    </row>
    <row r="693" spans="1:18" x14ac:dyDescent="0.3">
      <c r="A693">
        <v>1692</v>
      </c>
      <c r="B693" s="3">
        <v>45313</v>
      </c>
      <c r="C693" s="3">
        <v>45316</v>
      </c>
      <c r="D693" t="s">
        <v>97</v>
      </c>
      <c r="E693" t="s">
        <v>232</v>
      </c>
      <c r="F693" t="s">
        <v>46</v>
      </c>
      <c r="G693" t="s">
        <v>90</v>
      </c>
      <c r="H693" t="s">
        <v>91</v>
      </c>
      <c r="I693" t="s">
        <v>23</v>
      </c>
      <c r="J693" t="s">
        <v>24</v>
      </c>
      <c r="K693" t="s">
        <v>25</v>
      </c>
      <c r="L693" t="s">
        <v>1292</v>
      </c>
      <c r="M693" s="1">
        <v>48271.89</v>
      </c>
      <c r="N693">
        <v>6</v>
      </c>
      <c r="O693" s="2">
        <v>0.1</v>
      </c>
      <c r="P693" s="1">
        <v>6024.67</v>
      </c>
      <c r="Q693" t="s">
        <v>74</v>
      </c>
      <c r="R693" t="s">
        <v>53</v>
      </c>
    </row>
    <row r="694" spans="1:18" x14ac:dyDescent="0.3">
      <c r="A694">
        <v>1693</v>
      </c>
      <c r="B694" s="3">
        <v>45932</v>
      </c>
      <c r="C694" s="3">
        <v>45936</v>
      </c>
      <c r="D694" t="s">
        <v>414</v>
      </c>
      <c r="E694" t="s">
        <v>156</v>
      </c>
      <c r="F694" t="s">
        <v>46</v>
      </c>
      <c r="G694" t="s">
        <v>70</v>
      </c>
      <c r="H694" t="s">
        <v>71</v>
      </c>
      <c r="I694" t="s">
        <v>58</v>
      </c>
      <c r="J694" t="s">
        <v>35</v>
      </c>
      <c r="K694" t="s">
        <v>36</v>
      </c>
      <c r="L694" t="s">
        <v>1293</v>
      </c>
      <c r="M694" s="1">
        <v>21946.06</v>
      </c>
      <c r="N694">
        <v>6</v>
      </c>
      <c r="O694" s="2">
        <v>0.05</v>
      </c>
      <c r="P694" s="1">
        <v>5499.35</v>
      </c>
      <c r="Q694" t="s">
        <v>52</v>
      </c>
      <c r="R694" t="s">
        <v>39</v>
      </c>
    </row>
    <row r="695" spans="1:18" x14ac:dyDescent="0.3">
      <c r="A695">
        <v>1694</v>
      </c>
      <c r="B695" s="3">
        <v>45664</v>
      </c>
      <c r="C695" s="3">
        <v>45669</v>
      </c>
      <c r="D695" t="s">
        <v>292</v>
      </c>
      <c r="E695" t="s">
        <v>824</v>
      </c>
      <c r="F695" t="s">
        <v>20</v>
      </c>
      <c r="G695" t="s">
        <v>95</v>
      </c>
      <c r="H695" t="s">
        <v>22</v>
      </c>
      <c r="I695" t="s">
        <v>23</v>
      </c>
      <c r="J695" t="s">
        <v>24</v>
      </c>
      <c r="K695" t="s">
        <v>25</v>
      </c>
      <c r="L695" t="s">
        <v>1294</v>
      </c>
      <c r="M695" s="1">
        <v>85169.44</v>
      </c>
      <c r="N695">
        <v>3</v>
      </c>
      <c r="O695" s="2">
        <v>0.1</v>
      </c>
      <c r="P695" s="1">
        <v>7463.79</v>
      </c>
      <c r="Q695" t="s">
        <v>61</v>
      </c>
      <c r="R695" t="s">
        <v>120</v>
      </c>
    </row>
    <row r="696" spans="1:18" x14ac:dyDescent="0.3">
      <c r="A696">
        <v>1695</v>
      </c>
      <c r="B696" s="3">
        <v>45546</v>
      </c>
      <c r="C696" s="3">
        <v>45547</v>
      </c>
      <c r="D696" t="s">
        <v>1022</v>
      </c>
      <c r="E696" t="s">
        <v>1178</v>
      </c>
      <c r="F696" t="s">
        <v>46</v>
      </c>
      <c r="G696" t="s">
        <v>21</v>
      </c>
      <c r="H696" t="s">
        <v>22</v>
      </c>
      <c r="I696" t="s">
        <v>23</v>
      </c>
      <c r="J696" t="s">
        <v>24</v>
      </c>
      <c r="K696" t="s">
        <v>212</v>
      </c>
      <c r="L696" t="s">
        <v>1295</v>
      </c>
      <c r="M696" s="1">
        <v>78662.83</v>
      </c>
      <c r="N696">
        <v>6</v>
      </c>
      <c r="O696" s="2">
        <v>0.2</v>
      </c>
      <c r="P696" s="1">
        <v>12541.65</v>
      </c>
      <c r="Q696" t="s">
        <v>38</v>
      </c>
      <c r="R696" t="s">
        <v>53</v>
      </c>
    </row>
    <row r="697" spans="1:18" x14ac:dyDescent="0.3">
      <c r="A697">
        <v>1696</v>
      </c>
      <c r="B697" s="3">
        <v>46013</v>
      </c>
      <c r="C697" s="3">
        <v>46015</v>
      </c>
      <c r="D697" t="s">
        <v>402</v>
      </c>
      <c r="E697" t="s">
        <v>178</v>
      </c>
      <c r="F697" t="s">
        <v>31</v>
      </c>
      <c r="G697" t="s">
        <v>32</v>
      </c>
      <c r="H697" t="s">
        <v>33</v>
      </c>
      <c r="I697" t="s">
        <v>34</v>
      </c>
      <c r="J697" t="s">
        <v>64</v>
      </c>
      <c r="K697" t="s">
        <v>104</v>
      </c>
      <c r="L697" t="s">
        <v>1296</v>
      </c>
      <c r="M697" s="1">
        <v>50745.54</v>
      </c>
      <c r="N697">
        <v>7</v>
      </c>
      <c r="O697" s="2">
        <v>0.15</v>
      </c>
      <c r="P697" s="1">
        <v>11663.74</v>
      </c>
      <c r="Q697" t="s">
        <v>74</v>
      </c>
      <c r="R697" t="s">
        <v>39</v>
      </c>
    </row>
    <row r="698" spans="1:18" x14ac:dyDescent="0.3">
      <c r="A698">
        <v>1697</v>
      </c>
      <c r="B698" s="3">
        <v>45329</v>
      </c>
      <c r="C698" s="3">
        <v>45334</v>
      </c>
      <c r="D698" t="s">
        <v>148</v>
      </c>
      <c r="E698" t="s">
        <v>211</v>
      </c>
      <c r="F698" t="s">
        <v>20</v>
      </c>
      <c r="G698" t="s">
        <v>107</v>
      </c>
      <c r="H698" t="s">
        <v>108</v>
      </c>
      <c r="I698" t="s">
        <v>34</v>
      </c>
      <c r="J698" t="s">
        <v>35</v>
      </c>
      <c r="K698" t="s">
        <v>59</v>
      </c>
      <c r="L698" t="s">
        <v>1297</v>
      </c>
      <c r="M698" s="1">
        <v>66829.61</v>
      </c>
      <c r="N698">
        <v>1</v>
      </c>
      <c r="O698" s="2">
        <v>0.05</v>
      </c>
      <c r="P698" s="1">
        <v>5237.9799999999996</v>
      </c>
      <c r="Q698" t="s">
        <v>38</v>
      </c>
      <c r="R698" t="s">
        <v>28</v>
      </c>
    </row>
    <row r="699" spans="1:18" x14ac:dyDescent="0.3">
      <c r="A699">
        <v>1698</v>
      </c>
      <c r="B699" s="3">
        <v>45924</v>
      </c>
      <c r="C699" s="3">
        <v>45927</v>
      </c>
      <c r="D699" t="s">
        <v>942</v>
      </c>
      <c r="E699" t="s">
        <v>353</v>
      </c>
      <c r="F699" t="s">
        <v>20</v>
      </c>
      <c r="G699" t="s">
        <v>95</v>
      </c>
      <c r="H699" t="s">
        <v>22</v>
      </c>
      <c r="I699" t="s">
        <v>23</v>
      </c>
      <c r="J699" t="s">
        <v>35</v>
      </c>
      <c r="K699" t="s">
        <v>129</v>
      </c>
      <c r="L699" t="s">
        <v>1298</v>
      </c>
      <c r="M699" s="1">
        <v>33911.019999999997</v>
      </c>
      <c r="N699">
        <v>1</v>
      </c>
      <c r="O699" s="2">
        <v>0.25</v>
      </c>
      <c r="P699" s="1">
        <v>1294.32</v>
      </c>
      <c r="Q699" t="s">
        <v>52</v>
      </c>
      <c r="R699" t="s">
        <v>39</v>
      </c>
    </row>
    <row r="700" spans="1:18" x14ac:dyDescent="0.3">
      <c r="A700">
        <v>1699</v>
      </c>
      <c r="B700" s="3">
        <v>45328</v>
      </c>
      <c r="C700" s="3">
        <v>45330</v>
      </c>
      <c r="D700" t="s">
        <v>857</v>
      </c>
      <c r="E700" t="s">
        <v>1299</v>
      </c>
      <c r="F700" t="s">
        <v>31</v>
      </c>
      <c r="G700" t="s">
        <v>47</v>
      </c>
      <c r="H700" t="s">
        <v>48</v>
      </c>
      <c r="I700" t="s">
        <v>49</v>
      </c>
      <c r="J700" t="s">
        <v>64</v>
      </c>
      <c r="K700" t="s">
        <v>65</v>
      </c>
      <c r="L700" t="s">
        <v>1300</v>
      </c>
      <c r="M700" s="1">
        <v>25888.71</v>
      </c>
      <c r="N700">
        <v>7</v>
      </c>
      <c r="O700" s="2">
        <v>0.25</v>
      </c>
      <c r="P700" s="1">
        <v>1053.8499999999999</v>
      </c>
      <c r="Q700" t="s">
        <v>115</v>
      </c>
      <c r="R700" t="s">
        <v>120</v>
      </c>
    </row>
    <row r="701" spans="1:18" x14ac:dyDescent="0.3">
      <c r="A701">
        <v>1700</v>
      </c>
      <c r="B701" s="3">
        <v>45402</v>
      </c>
      <c r="C701" s="3">
        <v>45403</v>
      </c>
      <c r="D701" t="s">
        <v>204</v>
      </c>
      <c r="E701" t="s">
        <v>740</v>
      </c>
      <c r="F701" t="s">
        <v>31</v>
      </c>
      <c r="G701" t="s">
        <v>90</v>
      </c>
      <c r="H701" t="s">
        <v>91</v>
      </c>
      <c r="I701" t="s">
        <v>23</v>
      </c>
      <c r="J701" t="s">
        <v>35</v>
      </c>
      <c r="K701" t="s">
        <v>129</v>
      </c>
      <c r="L701" t="s">
        <v>1301</v>
      </c>
      <c r="M701" s="1">
        <v>24368.09</v>
      </c>
      <c r="N701">
        <v>2</v>
      </c>
      <c r="O701" s="2">
        <v>0</v>
      </c>
      <c r="P701" s="1">
        <v>3273</v>
      </c>
      <c r="Q701" t="s">
        <v>67</v>
      </c>
      <c r="R701" t="s">
        <v>39</v>
      </c>
    </row>
    <row r="702" spans="1:18" x14ac:dyDescent="0.3">
      <c r="A702">
        <v>1701</v>
      </c>
      <c r="B702" s="3">
        <v>45666</v>
      </c>
      <c r="C702" s="3">
        <v>45671</v>
      </c>
      <c r="D702" t="s">
        <v>134</v>
      </c>
      <c r="E702" t="s">
        <v>1302</v>
      </c>
      <c r="F702" t="s">
        <v>31</v>
      </c>
      <c r="G702" t="s">
        <v>90</v>
      </c>
      <c r="H702" t="s">
        <v>91</v>
      </c>
      <c r="I702" t="s">
        <v>23</v>
      </c>
      <c r="J702" t="s">
        <v>35</v>
      </c>
      <c r="K702" t="s">
        <v>129</v>
      </c>
      <c r="L702" t="s">
        <v>1303</v>
      </c>
      <c r="M702" s="1">
        <v>67927.17</v>
      </c>
      <c r="N702">
        <v>4</v>
      </c>
      <c r="O702" s="2">
        <v>0.15</v>
      </c>
      <c r="P702" s="1">
        <v>8902.74</v>
      </c>
      <c r="Q702" t="s">
        <v>74</v>
      </c>
      <c r="R702" t="s">
        <v>120</v>
      </c>
    </row>
    <row r="703" spans="1:18" x14ac:dyDescent="0.3">
      <c r="A703">
        <v>1702</v>
      </c>
      <c r="B703" s="3">
        <v>45488</v>
      </c>
      <c r="C703" s="3">
        <v>45492</v>
      </c>
      <c r="D703" t="s">
        <v>297</v>
      </c>
      <c r="E703" t="s">
        <v>694</v>
      </c>
      <c r="F703" t="s">
        <v>31</v>
      </c>
      <c r="G703" t="s">
        <v>107</v>
      </c>
      <c r="H703" t="s">
        <v>108</v>
      </c>
      <c r="I703" t="s">
        <v>34</v>
      </c>
      <c r="J703" t="s">
        <v>35</v>
      </c>
      <c r="K703" t="s">
        <v>36</v>
      </c>
      <c r="L703" t="s">
        <v>1304</v>
      </c>
      <c r="M703" s="1">
        <v>79534.48</v>
      </c>
      <c r="N703">
        <v>6</v>
      </c>
      <c r="O703" s="2">
        <v>0.25</v>
      </c>
      <c r="P703" s="1">
        <v>3505.06</v>
      </c>
      <c r="Q703" t="s">
        <v>74</v>
      </c>
      <c r="R703" t="s">
        <v>120</v>
      </c>
    </row>
    <row r="704" spans="1:18" x14ac:dyDescent="0.3">
      <c r="A704">
        <v>1703</v>
      </c>
      <c r="B704" s="3">
        <v>45723</v>
      </c>
      <c r="C704" s="3">
        <v>45726</v>
      </c>
      <c r="D704" t="s">
        <v>789</v>
      </c>
      <c r="E704" t="s">
        <v>238</v>
      </c>
      <c r="F704" t="s">
        <v>31</v>
      </c>
      <c r="G704" t="s">
        <v>47</v>
      </c>
      <c r="H704" t="s">
        <v>48</v>
      </c>
      <c r="I704" t="s">
        <v>49</v>
      </c>
      <c r="J704" t="s">
        <v>64</v>
      </c>
      <c r="K704" t="s">
        <v>65</v>
      </c>
      <c r="L704" t="s">
        <v>1305</v>
      </c>
      <c r="M704" s="1">
        <v>84131.93</v>
      </c>
      <c r="N704">
        <v>2</v>
      </c>
      <c r="O704" s="2">
        <v>0.05</v>
      </c>
      <c r="P704" s="1">
        <v>14821.03</v>
      </c>
      <c r="Q704" t="s">
        <v>38</v>
      </c>
      <c r="R704" t="s">
        <v>28</v>
      </c>
    </row>
    <row r="705" spans="1:18" x14ac:dyDescent="0.3">
      <c r="A705">
        <v>1704</v>
      </c>
      <c r="B705" s="3">
        <v>45795</v>
      </c>
      <c r="C705" s="3">
        <v>45798</v>
      </c>
      <c r="D705" t="s">
        <v>798</v>
      </c>
      <c r="E705" t="s">
        <v>1101</v>
      </c>
      <c r="F705" t="s">
        <v>20</v>
      </c>
      <c r="G705" t="s">
        <v>70</v>
      </c>
      <c r="H705" t="s">
        <v>71</v>
      </c>
      <c r="I705" t="s">
        <v>58</v>
      </c>
      <c r="J705" t="s">
        <v>35</v>
      </c>
      <c r="K705" t="s">
        <v>59</v>
      </c>
      <c r="L705" t="s">
        <v>1306</v>
      </c>
      <c r="M705" s="1">
        <v>74761.13</v>
      </c>
      <c r="N705">
        <v>1</v>
      </c>
      <c r="O705" s="2">
        <v>0.1</v>
      </c>
      <c r="P705" s="1">
        <v>16578.310000000001</v>
      </c>
      <c r="Q705" t="s">
        <v>27</v>
      </c>
      <c r="R705" t="s">
        <v>53</v>
      </c>
    </row>
    <row r="706" spans="1:18" x14ac:dyDescent="0.3">
      <c r="A706">
        <v>1705</v>
      </c>
      <c r="B706" s="3">
        <v>45596</v>
      </c>
      <c r="C706" s="3">
        <v>45600</v>
      </c>
      <c r="D706" t="s">
        <v>283</v>
      </c>
      <c r="E706" t="s">
        <v>247</v>
      </c>
      <c r="F706" t="s">
        <v>46</v>
      </c>
      <c r="G706" t="s">
        <v>107</v>
      </c>
      <c r="H706" t="s">
        <v>108</v>
      </c>
      <c r="I706" t="s">
        <v>34</v>
      </c>
      <c r="J706" t="s">
        <v>24</v>
      </c>
      <c r="K706" t="s">
        <v>50</v>
      </c>
      <c r="L706" t="s">
        <v>1307</v>
      </c>
      <c r="M706" s="1">
        <v>81982.75</v>
      </c>
      <c r="N706">
        <v>6</v>
      </c>
      <c r="O706" s="2">
        <v>0</v>
      </c>
      <c r="P706" s="1">
        <v>24251.57</v>
      </c>
      <c r="Q706" t="s">
        <v>61</v>
      </c>
      <c r="R706" t="s">
        <v>120</v>
      </c>
    </row>
    <row r="707" spans="1:18" x14ac:dyDescent="0.3">
      <c r="A707">
        <v>1706</v>
      </c>
      <c r="B707" s="3">
        <v>45473</v>
      </c>
      <c r="C707" s="3">
        <v>45474</v>
      </c>
      <c r="D707" t="s">
        <v>882</v>
      </c>
      <c r="E707" t="s">
        <v>362</v>
      </c>
      <c r="F707" t="s">
        <v>46</v>
      </c>
      <c r="G707" t="s">
        <v>95</v>
      </c>
      <c r="H707" t="s">
        <v>22</v>
      </c>
      <c r="I707" t="s">
        <v>23</v>
      </c>
      <c r="J707" t="s">
        <v>24</v>
      </c>
      <c r="K707" t="s">
        <v>25</v>
      </c>
      <c r="L707" t="s">
        <v>1308</v>
      </c>
      <c r="M707" s="1">
        <v>81667.570000000007</v>
      </c>
      <c r="N707">
        <v>9</v>
      </c>
      <c r="O707" s="2">
        <v>0.2</v>
      </c>
      <c r="P707" s="1">
        <v>11056.22</v>
      </c>
      <c r="Q707" t="s">
        <v>67</v>
      </c>
      <c r="R707" t="s">
        <v>53</v>
      </c>
    </row>
    <row r="708" spans="1:18" x14ac:dyDescent="0.3">
      <c r="A708">
        <v>1707</v>
      </c>
      <c r="B708" s="3">
        <v>45525</v>
      </c>
      <c r="C708" s="3">
        <v>45526</v>
      </c>
      <c r="D708" t="s">
        <v>78</v>
      </c>
      <c r="E708" t="s">
        <v>1235</v>
      </c>
      <c r="F708" t="s">
        <v>20</v>
      </c>
      <c r="G708" t="s">
        <v>21</v>
      </c>
      <c r="H708" t="s">
        <v>22</v>
      </c>
      <c r="I708" t="s">
        <v>23</v>
      </c>
      <c r="J708" t="s">
        <v>24</v>
      </c>
      <c r="K708" t="s">
        <v>25</v>
      </c>
      <c r="L708" t="s">
        <v>1309</v>
      </c>
      <c r="M708" s="1">
        <v>6907.15</v>
      </c>
      <c r="N708">
        <v>10</v>
      </c>
      <c r="O708" s="2">
        <v>0.05</v>
      </c>
      <c r="P708" s="1">
        <v>531.61</v>
      </c>
      <c r="Q708" t="s">
        <v>67</v>
      </c>
      <c r="R708" t="s">
        <v>53</v>
      </c>
    </row>
    <row r="709" spans="1:18" x14ac:dyDescent="0.3">
      <c r="A709">
        <v>1708</v>
      </c>
      <c r="B709" s="3">
        <v>45588</v>
      </c>
      <c r="C709" s="3">
        <v>45593</v>
      </c>
      <c r="D709" t="s">
        <v>565</v>
      </c>
      <c r="E709" t="s">
        <v>644</v>
      </c>
      <c r="F709" t="s">
        <v>46</v>
      </c>
      <c r="G709" t="s">
        <v>56</v>
      </c>
      <c r="H709" t="s">
        <v>57</v>
      </c>
      <c r="I709" t="s">
        <v>58</v>
      </c>
      <c r="J709" t="s">
        <v>35</v>
      </c>
      <c r="K709" t="s">
        <v>42</v>
      </c>
      <c r="L709" t="s">
        <v>1310</v>
      </c>
      <c r="M709" s="1">
        <v>26379.279999999999</v>
      </c>
      <c r="N709">
        <v>9</v>
      </c>
      <c r="O709" s="2">
        <v>0.15</v>
      </c>
      <c r="P709" s="1">
        <v>2062.35</v>
      </c>
      <c r="Q709" t="s">
        <v>27</v>
      </c>
      <c r="R709" t="s">
        <v>120</v>
      </c>
    </row>
    <row r="710" spans="1:18" x14ac:dyDescent="0.3">
      <c r="A710">
        <v>1709</v>
      </c>
      <c r="B710" s="3">
        <v>45988</v>
      </c>
      <c r="C710" s="3">
        <v>45994</v>
      </c>
      <c r="D710" t="s">
        <v>549</v>
      </c>
      <c r="E710" t="s">
        <v>1170</v>
      </c>
      <c r="F710" t="s">
        <v>46</v>
      </c>
      <c r="G710" t="s">
        <v>85</v>
      </c>
      <c r="H710" t="s">
        <v>86</v>
      </c>
      <c r="I710" t="s">
        <v>49</v>
      </c>
      <c r="J710" t="s">
        <v>64</v>
      </c>
      <c r="K710" t="s">
        <v>157</v>
      </c>
      <c r="L710" t="s">
        <v>1311</v>
      </c>
      <c r="M710" s="1">
        <v>10907.83</v>
      </c>
      <c r="N710">
        <v>9</v>
      </c>
      <c r="O710" s="2">
        <v>0</v>
      </c>
      <c r="P710" s="1">
        <v>2605.84</v>
      </c>
      <c r="Q710" t="s">
        <v>27</v>
      </c>
      <c r="R710" t="s">
        <v>39</v>
      </c>
    </row>
    <row r="711" spans="1:18" x14ac:dyDescent="0.3">
      <c r="A711">
        <v>1710</v>
      </c>
      <c r="B711" s="3">
        <v>45776</v>
      </c>
      <c r="C711" s="3">
        <v>45778</v>
      </c>
      <c r="D711" t="s">
        <v>148</v>
      </c>
      <c r="E711" t="s">
        <v>122</v>
      </c>
      <c r="F711" t="s">
        <v>20</v>
      </c>
      <c r="G711" t="s">
        <v>85</v>
      </c>
      <c r="H711" t="s">
        <v>86</v>
      </c>
      <c r="I711" t="s">
        <v>49</v>
      </c>
      <c r="J711" t="s">
        <v>24</v>
      </c>
      <c r="K711" t="s">
        <v>72</v>
      </c>
      <c r="L711" t="s">
        <v>1281</v>
      </c>
      <c r="M711" s="1">
        <v>56546.14</v>
      </c>
      <c r="N711">
        <v>2</v>
      </c>
      <c r="O711" s="2">
        <v>0.15</v>
      </c>
      <c r="P711" s="1">
        <v>3853.66</v>
      </c>
      <c r="Q711" t="s">
        <v>38</v>
      </c>
      <c r="R711" t="s">
        <v>120</v>
      </c>
    </row>
    <row r="712" spans="1:18" x14ac:dyDescent="0.3">
      <c r="A712">
        <v>1711</v>
      </c>
      <c r="B712" s="3">
        <v>45718</v>
      </c>
      <c r="C712" s="3">
        <v>45721</v>
      </c>
      <c r="D712" t="s">
        <v>800</v>
      </c>
      <c r="E712" t="s">
        <v>45</v>
      </c>
      <c r="F712" t="s">
        <v>20</v>
      </c>
      <c r="G712" t="s">
        <v>90</v>
      </c>
      <c r="H712" t="s">
        <v>91</v>
      </c>
      <c r="I712" t="s">
        <v>23</v>
      </c>
      <c r="J712" t="s">
        <v>24</v>
      </c>
      <c r="K712" t="s">
        <v>212</v>
      </c>
      <c r="L712" t="s">
        <v>1312</v>
      </c>
      <c r="M712" s="1">
        <v>69495.45</v>
      </c>
      <c r="N712">
        <v>3</v>
      </c>
      <c r="O712" s="2">
        <v>0.05</v>
      </c>
      <c r="P712" s="1">
        <v>14162.27</v>
      </c>
      <c r="Q712" t="s">
        <v>38</v>
      </c>
      <c r="R712" t="s">
        <v>39</v>
      </c>
    </row>
    <row r="713" spans="1:18" x14ac:dyDescent="0.3">
      <c r="A713">
        <v>1712</v>
      </c>
      <c r="B713" s="3">
        <v>45586</v>
      </c>
      <c r="C713" s="3">
        <v>45588</v>
      </c>
      <c r="D713" t="s">
        <v>214</v>
      </c>
      <c r="E713" t="s">
        <v>323</v>
      </c>
      <c r="F713" t="s">
        <v>31</v>
      </c>
      <c r="G713" t="s">
        <v>21</v>
      </c>
      <c r="H713" t="s">
        <v>22</v>
      </c>
      <c r="I713" t="s">
        <v>23</v>
      </c>
      <c r="J713" t="s">
        <v>35</v>
      </c>
      <c r="K713" t="s">
        <v>129</v>
      </c>
      <c r="L713" t="s">
        <v>1313</v>
      </c>
      <c r="M713" s="1">
        <v>9240.34</v>
      </c>
      <c r="N713">
        <v>5</v>
      </c>
      <c r="O713" s="2">
        <v>0.1</v>
      </c>
      <c r="P713" s="1">
        <v>489.33</v>
      </c>
      <c r="Q713" t="s">
        <v>115</v>
      </c>
      <c r="R713" t="s">
        <v>53</v>
      </c>
    </row>
    <row r="714" spans="1:18" x14ac:dyDescent="0.3">
      <c r="A714">
        <v>1713</v>
      </c>
      <c r="B714" s="3">
        <v>45716</v>
      </c>
      <c r="C714" s="3">
        <v>45722</v>
      </c>
      <c r="D714" t="s">
        <v>54</v>
      </c>
      <c r="E714" t="s">
        <v>682</v>
      </c>
      <c r="F714" t="s">
        <v>46</v>
      </c>
      <c r="G714" t="s">
        <v>47</v>
      </c>
      <c r="H714" t="s">
        <v>48</v>
      </c>
      <c r="I714" t="s">
        <v>49</v>
      </c>
      <c r="J714" t="s">
        <v>24</v>
      </c>
      <c r="K714" t="s">
        <v>72</v>
      </c>
      <c r="L714" t="s">
        <v>1314</v>
      </c>
      <c r="M714" s="1">
        <v>39338.69</v>
      </c>
      <c r="N714">
        <v>10</v>
      </c>
      <c r="O714" s="2">
        <v>0.15</v>
      </c>
      <c r="P714" s="1">
        <v>9339.85</v>
      </c>
      <c r="Q714" t="s">
        <v>27</v>
      </c>
      <c r="R714" t="s">
        <v>28</v>
      </c>
    </row>
    <row r="715" spans="1:18" x14ac:dyDescent="0.3">
      <c r="A715">
        <v>1714</v>
      </c>
      <c r="B715" s="3">
        <v>45769</v>
      </c>
      <c r="C715" s="3">
        <v>45772</v>
      </c>
      <c r="D715" t="s">
        <v>305</v>
      </c>
      <c r="E715" t="s">
        <v>1315</v>
      </c>
      <c r="F715" t="s">
        <v>20</v>
      </c>
      <c r="G715" t="s">
        <v>47</v>
      </c>
      <c r="H715" t="s">
        <v>48</v>
      </c>
      <c r="I715" t="s">
        <v>49</v>
      </c>
      <c r="J715" t="s">
        <v>24</v>
      </c>
      <c r="K715" t="s">
        <v>72</v>
      </c>
      <c r="L715" t="s">
        <v>1316</v>
      </c>
      <c r="M715" s="1">
        <v>20703.560000000001</v>
      </c>
      <c r="N715">
        <v>6</v>
      </c>
      <c r="O715" s="2">
        <v>0.25</v>
      </c>
      <c r="P715" s="1">
        <v>3270.55</v>
      </c>
      <c r="Q715" t="s">
        <v>38</v>
      </c>
      <c r="R715" t="s">
        <v>39</v>
      </c>
    </row>
    <row r="716" spans="1:18" x14ac:dyDescent="0.3">
      <c r="A716">
        <v>1715</v>
      </c>
      <c r="B716" s="3">
        <v>45912</v>
      </c>
      <c r="C716" s="3">
        <v>45917</v>
      </c>
      <c r="D716" t="s">
        <v>162</v>
      </c>
      <c r="E716" t="s">
        <v>303</v>
      </c>
      <c r="F716" t="s">
        <v>20</v>
      </c>
      <c r="G716" t="s">
        <v>107</v>
      </c>
      <c r="H716" t="s">
        <v>108</v>
      </c>
      <c r="I716" t="s">
        <v>34</v>
      </c>
      <c r="J716" t="s">
        <v>35</v>
      </c>
      <c r="K716" t="s">
        <v>36</v>
      </c>
      <c r="L716" t="s">
        <v>1317</v>
      </c>
      <c r="M716" s="1">
        <v>84622.6</v>
      </c>
      <c r="N716">
        <v>5</v>
      </c>
      <c r="O716" s="2">
        <v>0.2</v>
      </c>
      <c r="P716" s="1">
        <v>3030.58</v>
      </c>
      <c r="Q716" t="s">
        <v>74</v>
      </c>
      <c r="R716" t="s">
        <v>120</v>
      </c>
    </row>
    <row r="717" spans="1:18" x14ac:dyDescent="0.3">
      <c r="A717">
        <v>1716</v>
      </c>
      <c r="B717" s="3">
        <v>45966</v>
      </c>
      <c r="C717" s="3">
        <v>45972</v>
      </c>
      <c r="D717" t="s">
        <v>88</v>
      </c>
      <c r="E717" t="s">
        <v>1187</v>
      </c>
      <c r="F717" t="s">
        <v>20</v>
      </c>
      <c r="G717" t="s">
        <v>70</v>
      </c>
      <c r="H717" t="s">
        <v>71</v>
      </c>
      <c r="I717" t="s">
        <v>58</v>
      </c>
      <c r="J717" t="s">
        <v>24</v>
      </c>
      <c r="K717" t="s">
        <v>72</v>
      </c>
      <c r="L717" t="s">
        <v>1318</v>
      </c>
      <c r="M717" s="1">
        <v>4646.9799999999996</v>
      </c>
      <c r="N717">
        <v>5</v>
      </c>
      <c r="O717" s="2">
        <v>0.3</v>
      </c>
      <c r="P717" s="1">
        <v>683.58</v>
      </c>
      <c r="Q717" t="s">
        <v>82</v>
      </c>
      <c r="R717" t="s">
        <v>28</v>
      </c>
    </row>
    <row r="718" spans="1:18" x14ac:dyDescent="0.3">
      <c r="A718">
        <v>1717</v>
      </c>
      <c r="B718" s="3">
        <v>45837</v>
      </c>
      <c r="C718" s="3">
        <v>45840</v>
      </c>
      <c r="D718" t="s">
        <v>449</v>
      </c>
      <c r="E718" t="s">
        <v>229</v>
      </c>
      <c r="F718" t="s">
        <v>20</v>
      </c>
      <c r="G718" t="s">
        <v>102</v>
      </c>
      <c r="H718" t="s">
        <v>103</v>
      </c>
      <c r="I718" t="s">
        <v>58</v>
      </c>
      <c r="J718" t="s">
        <v>64</v>
      </c>
      <c r="K718" t="s">
        <v>157</v>
      </c>
      <c r="L718" t="s">
        <v>1319</v>
      </c>
      <c r="M718" s="1">
        <v>23721.23</v>
      </c>
      <c r="N718">
        <v>4</v>
      </c>
      <c r="O718" s="2">
        <v>0.15</v>
      </c>
      <c r="P718" s="1">
        <v>634.78</v>
      </c>
      <c r="Q718" t="s">
        <v>74</v>
      </c>
      <c r="R718" t="s">
        <v>28</v>
      </c>
    </row>
    <row r="719" spans="1:18" x14ac:dyDescent="0.3">
      <c r="A719">
        <v>1718</v>
      </c>
      <c r="B719" s="3">
        <v>45363</v>
      </c>
      <c r="C719" s="3">
        <v>45368</v>
      </c>
      <c r="D719" t="s">
        <v>776</v>
      </c>
      <c r="E719" t="s">
        <v>1180</v>
      </c>
      <c r="F719" t="s">
        <v>31</v>
      </c>
      <c r="G719" t="s">
        <v>107</v>
      </c>
      <c r="H719" t="s">
        <v>108</v>
      </c>
      <c r="I719" t="s">
        <v>34</v>
      </c>
      <c r="J719" t="s">
        <v>35</v>
      </c>
      <c r="K719" t="s">
        <v>36</v>
      </c>
      <c r="L719" t="s">
        <v>1320</v>
      </c>
      <c r="M719" s="1">
        <v>3283.49</v>
      </c>
      <c r="N719">
        <v>7</v>
      </c>
      <c r="O719" s="2">
        <v>0.05</v>
      </c>
      <c r="P719" s="1">
        <v>205.04</v>
      </c>
      <c r="Q719" t="s">
        <v>115</v>
      </c>
      <c r="R719" t="s">
        <v>28</v>
      </c>
    </row>
    <row r="720" spans="1:18" x14ac:dyDescent="0.3">
      <c r="A720">
        <v>1719</v>
      </c>
      <c r="B720" s="3">
        <v>45704</v>
      </c>
      <c r="C720" s="3">
        <v>45707</v>
      </c>
      <c r="D720" t="s">
        <v>29</v>
      </c>
      <c r="E720" t="s">
        <v>841</v>
      </c>
      <c r="F720" t="s">
        <v>20</v>
      </c>
      <c r="G720" t="s">
        <v>102</v>
      </c>
      <c r="H720" t="s">
        <v>103</v>
      </c>
      <c r="I720" t="s">
        <v>58</v>
      </c>
      <c r="J720" t="s">
        <v>35</v>
      </c>
      <c r="K720" t="s">
        <v>129</v>
      </c>
      <c r="L720" t="s">
        <v>1321</v>
      </c>
      <c r="M720" s="1">
        <v>12648.54</v>
      </c>
      <c r="N720">
        <v>4</v>
      </c>
      <c r="O720" s="2">
        <v>0.2</v>
      </c>
      <c r="P720" s="1">
        <v>1025.56</v>
      </c>
      <c r="Q720" t="s">
        <v>52</v>
      </c>
      <c r="R720" t="s">
        <v>120</v>
      </c>
    </row>
    <row r="721" spans="1:18" x14ac:dyDescent="0.3">
      <c r="A721">
        <v>1720</v>
      </c>
      <c r="B721" s="3">
        <v>45780</v>
      </c>
      <c r="C721" s="3">
        <v>45781</v>
      </c>
      <c r="D721" t="s">
        <v>529</v>
      </c>
      <c r="E721" t="s">
        <v>1299</v>
      </c>
      <c r="F721" t="s">
        <v>31</v>
      </c>
      <c r="G721" t="s">
        <v>118</v>
      </c>
      <c r="H721" t="s">
        <v>118</v>
      </c>
      <c r="I721" t="s">
        <v>34</v>
      </c>
      <c r="J721" t="s">
        <v>24</v>
      </c>
      <c r="K721" t="s">
        <v>224</v>
      </c>
      <c r="L721" t="s">
        <v>1322</v>
      </c>
      <c r="M721" s="1">
        <v>53350.64</v>
      </c>
      <c r="N721">
        <v>7</v>
      </c>
      <c r="O721" s="2">
        <v>0.25</v>
      </c>
      <c r="P721" s="1">
        <v>-215.99</v>
      </c>
      <c r="Q721" t="s">
        <v>74</v>
      </c>
      <c r="R721" t="s">
        <v>39</v>
      </c>
    </row>
    <row r="722" spans="1:18" x14ac:dyDescent="0.3">
      <c r="A722">
        <v>1721</v>
      </c>
      <c r="B722" s="3">
        <v>45626</v>
      </c>
      <c r="C722" s="3">
        <v>45632</v>
      </c>
      <c r="D722" t="s">
        <v>1216</v>
      </c>
      <c r="E722" t="s">
        <v>260</v>
      </c>
      <c r="F722" t="s">
        <v>31</v>
      </c>
      <c r="G722" t="s">
        <v>95</v>
      </c>
      <c r="H722" t="s">
        <v>22</v>
      </c>
      <c r="I722" t="s">
        <v>23</v>
      </c>
      <c r="J722" t="s">
        <v>24</v>
      </c>
      <c r="K722" t="s">
        <v>212</v>
      </c>
      <c r="L722" t="s">
        <v>1323</v>
      </c>
      <c r="M722" s="1">
        <v>31620.75</v>
      </c>
      <c r="N722">
        <v>9</v>
      </c>
      <c r="O722" s="2">
        <v>0</v>
      </c>
      <c r="P722" s="1">
        <v>5686.84</v>
      </c>
      <c r="Q722" t="s">
        <v>61</v>
      </c>
      <c r="R722" t="s">
        <v>39</v>
      </c>
    </row>
    <row r="723" spans="1:18" x14ac:dyDescent="0.3">
      <c r="A723">
        <v>1722</v>
      </c>
      <c r="B723" s="3">
        <v>45653</v>
      </c>
      <c r="C723" s="3">
        <v>45658</v>
      </c>
      <c r="D723" t="s">
        <v>1007</v>
      </c>
      <c r="E723" t="s">
        <v>733</v>
      </c>
      <c r="F723" t="s">
        <v>20</v>
      </c>
      <c r="G723" t="s">
        <v>70</v>
      </c>
      <c r="H723" t="s">
        <v>71</v>
      </c>
      <c r="I723" t="s">
        <v>58</v>
      </c>
      <c r="J723" t="s">
        <v>35</v>
      </c>
      <c r="K723" t="s">
        <v>36</v>
      </c>
      <c r="L723" t="s">
        <v>1324</v>
      </c>
      <c r="M723" s="1">
        <v>29775.74</v>
      </c>
      <c r="N723">
        <v>6</v>
      </c>
      <c r="O723" s="2">
        <v>0.3</v>
      </c>
      <c r="P723" s="1">
        <v>3721.06</v>
      </c>
      <c r="Q723" t="s">
        <v>67</v>
      </c>
      <c r="R723" t="s">
        <v>39</v>
      </c>
    </row>
    <row r="724" spans="1:18" x14ac:dyDescent="0.3">
      <c r="A724">
        <v>1723</v>
      </c>
      <c r="B724" s="3">
        <v>45706</v>
      </c>
      <c r="C724" s="3">
        <v>45711</v>
      </c>
      <c r="D724" t="s">
        <v>231</v>
      </c>
      <c r="E724" t="s">
        <v>972</v>
      </c>
      <c r="F724" t="s">
        <v>31</v>
      </c>
      <c r="G724" t="s">
        <v>112</v>
      </c>
      <c r="H724" t="s">
        <v>113</v>
      </c>
      <c r="I724" t="s">
        <v>49</v>
      </c>
      <c r="J724" t="s">
        <v>35</v>
      </c>
      <c r="K724" t="s">
        <v>129</v>
      </c>
      <c r="L724" t="s">
        <v>1325</v>
      </c>
      <c r="M724" s="1">
        <v>43726.47</v>
      </c>
      <c r="N724">
        <v>5</v>
      </c>
      <c r="O724" s="2">
        <v>0.1</v>
      </c>
      <c r="P724" s="1">
        <v>5822.76</v>
      </c>
      <c r="Q724" t="s">
        <v>82</v>
      </c>
      <c r="R724" t="s">
        <v>39</v>
      </c>
    </row>
    <row r="725" spans="1:18" x14ac:dyDescent="0.3">
      <c r="A725">
        <v>1724</v>
      </c>
      <c r="B725" s="3">
        <v>45479</v>
      </c>
      <c r="C725" s="3">
        <v>45484</v>
      </c>
      <c r="D725" t="s">
        <v>88</v>
      </c>
      <c r="E725" t="s">
        <v>489</v>
      </c>
      <c r="F725" t="s">
        <v>31</v>
      </c>
      <c r="G725" t="s">
        <v>90</v>
      </c>
      <c r="H725" t="s">
        <v>91</v>
      </c>
      <c r="I725" t="s">
        <v>23</v>
      </c>
      <c r="J725" t="s">
        <v>64</v>
      </c>
      <c r="K725" t="s">
        <v>188</v>
      </c>
      <c r="L725" t="s">
        <v>1326</v>
      </c>
      <c r="M725" s="1">
        <v>18506.45</v>
      </c>
      <c r="N725">
        <v>8</v>
      </c>
      <c r="O725" s="2">
        <v>0.2</v>
      </c>
      <c r="P725" s="1">
        <v>2142.5</v>
      </c>
      <c r="Q725" t="s">
        <v>52</v>
      </c>
      <c r="R725" t="s">
        <v>120</v>
      </c>
    </row>
    <row r="726" spans="1:18" x14ac:dyDescent="0.3">
      <c r="A726">
        <v>1725</v>
      </c>
      <c r="B726" s="3">
        <v>45936</v>
      </c>
      <c r="C726" s="3">
        <v>45937</v>
      </c>
      <c r="D726" t="s">
        <v>100</v>
      </c>
      <c r="E726" t="s">
        <v>84</v>
      </c>
      <c r="F726" t="s">
        <v>31</v>
      </c>
      <c r="G726" t="s">
        <v>107</v>
      </c>
      <c r="H726" t="s">
        <v>108</v>
      </c>
      <c r="I726" t="s">
        <v>34</v>
      </c>
      <c r="J726" t="s">
        <v>24</v>
      </c>
      <c r="K726" t="s">
        <v>50</v>
      </c>
      <c r="L726" t="s">
        <v>1327</v>
      </c>
      <c r="M726" s="1">
        <v>6486.87</v>
      </c>
      <c r="N726">
        <v>8</v>
      </c>
      <c r="O726" s="2">
        <v>0.05</v>
      </c>
      <c r="P726" s="1">
        <v>1360.32</v>
      </c>
      <c r="Q726" t="s">
        <v>67</v>
      </c>
      <c r="R726" t="s">
        <v>28</v>
      </c>
    </row>
    <row r="727" spans="1:18" x14ac:dyDescent="0.3">
      <c r="A727">
        <v>1726</v>
      </c>
      <c r="B727" s="3">
        <v>45633</v>
      </c>
      <c r="C727" s="3">
        <v>45634</v>
      </c>
      <c r="D727" t="s">
        <v>196</v>
      </c>
      <c r="E727" t="s">
        <v>1258</v>
      </c>
      <c r="F727" t="s">
        <v>46</v>
      </c>
      <c r="G727" t="s">
        <v>90</v>
      </c>
      <c r="H727" t="s">
        <v>91</v>
      </c>
      <c r="I727" t="s">
        <v>23</v>
      </c>
      <c r="J727" t="s">
        <v>24</v>
      </c>
      <c r="K727" t="s">
        <v>25</v>
      </c>
      <c r="L727" t="s">
        <v>1328</v>
      </c>
      <c r="M727" s="1">
        <v>77424.58</v>
      </c>
      <c r="N727">
        <v>2</v>
      </c>
      <c r="O727" s="2">
        <v>0</v>
      </c>
      <c r="P727" s="1">
        <v>7307.71</v>
      </c>
      <c r="Q727" t="s">
        <v>82</v>
      </c>
      <c r="R727" t="s">
        <v>53</v>
      </c>
    </row>
    <row r="728" spans="1:18" x14ac:dyDescent="0.3">
      <c r="A728">
        <v>1727</v>
      </c>
      <c r="B728" s="3">
        <v>45369</v>
      </c>
      <c r="C728" s="3">
        <v>45370</v>
      </c>
      <c r="D728" t="s">
        <v>1049</v>
      </c>
      <c r="E728" t="s">
        <v>323</v>
      </c>
      <c r="F728" t="s">
        <v>31</v>
      </c>
      <c r="G728" t="s">
        <v>32</v>
      </c>
      <c r="H728" t="s">
        <v>33</v>
      </c>
      <c r="I728" t="s">
        <v>34</v>
      </c>
      <c r="J728" t="s">
        <v>35</v>
      </c>
      <c r="K728" t="s">
        <v>59</v>
      </c>
      <c r="L728" t="s">
        <v>1329</v>
      </c>
      <c r="M728" s="1">
        <v>59844.43</v>
      </c>
      <c r="N728">
        <v>10</v>
      </c>
      <c r="O728" s="2">
        <v>0.3</v>
      </c>
      <c r="P728" s="1">
        <v>-107.81</v>
      </c>
      <c r="Q728" t="s">
        <v>82</v>
      </c>
      <c r="R728" t="s">
        <v>53</v>
      </c>
    </row>
    <row r="729" spans="1:18" x14ac:dyDescent="0.3">
      <c r="A729">
        <v>1728</v>
      </c>
      <c r="B729" s="3">
        <v>45716</v>
      </c>
      <c r="C729" s="3">
        <v>45721</v>
      </c>
      <c r="D729" t="s">
        <v>1199</v>
      </c>
      <c r="E729" t="s">
        <v>41</v>
      </c>
      <c r="F729" t="s">
        <v>46</v>
      </c>
      <c r="G729" t="s">
        <v>102</v>
      </c>
      <c r="H729" t="s">
        <v>103</v>
      </c>
      <c r="I729" t="s">
        <v>58</v>
      </c>
      <c r="J729" t="s">
        <v>24</v>
      </c>
      <c r="K729" t="s">
        <v>212</v>
      </c>
      <c r="L729" t="s">
        <v>1330</v>
      </c>
      <c r="M729" s="1">
        <v>54829.51</v>
      </c>
      <c r="N729">
        <v>9</v>
      </c>
      <c r="O729" s="2">
        <v>0.15</v>
      </c>
      <c r="P729" s="1">
        <v>10321.64</v>
      </c>
      <c r="Q729" t="s">
        <v>52</v>
      </c>
      <c r="R729" t="s">
        <v>28</v>
      </c>
    </row>
    <row r="730" spans="1:18" x14ac:dyDescent="0.3">
      <c r="A730">
        <v>1729</v>
      </c>
      <c r="B730" s="3">
        <v>45347</v>
      </c>
      <c r="C730" s="3">
        <v>45349</v>
      </c>
      <c r="D730" t="s">
        <v>226</v>
      </c>
      <c r="E730" t="s">
        <v>326</v>
      </c>
      <c r="F730" t="s">
        <v>46</v>
      </c>
      <c r="G730" t="s">
        <v>56</v>
      </c>
      <c r="H730" t="s">
        <v>57</v>
      </c>
      <c r="I730" t="s">
        <v>58</v>
      </c>
      <c r="J730" t="s">
        <v>64</v>
      </c>
      <c r="K730" t="s">
        <v>80</v>
      </c>
      <c r="L730" t="s">
        <v>119</v>
      </c>
      <c r="M730" s="1">
        <v>5017.9399999999996</v>
      </c>
      <c r="N730">
        <v>2</v>
      </c>
      <c r="O730" s="2">
        <v>0.3</v>
      </c>
      <c r="P730" s="1">
        <v>798.54</v>
      </c>
      <c r="Q730" t="s">
        <v>61</v>
      </c>
      <c r="R730" t="s">
        <v>120</v>
      </c>
    </row>
    <row r="731" spans="1:18" x14ac:dyDescent="0.3">
      <c r="A731">
        <v>1730</v>
      </c>
      <c r="B731" s="3">
        <v>45360</v>
      </c>
      <c r="C731" s="3">
        <v>45363</v>
      </c>
      <c r="D731" t="s">
        <v>78</v>
      </c>
      <c r="E731" t="s">
        <v>805</v>
      </c>
      <c r="F731" t="s">
        <v>31</v>
      </c>
      <c r="G731" t="s">
        <v>70</v>
      </c>
      <c r="H731" t="s">
        <v>71</v>
      </c>
      <c r="I731" t="s">
        <v>58</v>
      </c>
      <c r="J731" t="s">
        <v>35</v>
      </c>
      <c r="K731" t="s">
        <v>36</v>
      </c>
      <c r="L731" t="s">
        <v>1331</v>
      </c>
      <c r="M731" s="1">
        <v>35231.46</v>
      </c>
      <c r="N731">
        <v>3</v>
      </c>
      <c r="O731" s="2">
        <v>0.3</v>
      </c>
      <c r="P731" s="1">
        <v>5263.29</v>
      </c>
      <c r="Q731" t="s">
        <v>115</v>
      </c>
      <c r="R731" t="s">
        <v>28</v>
      </c>
    </row>
    <row r="732" spans="1:18" x14ac:dyDescent="0.3">
      <c r="A732">
        <v>1731</v>
      </c>
      <c r="B732" s="3">
        <v>45764</v>
      </c>
      <c r="C732" s="3">
        <v>45766</v>
      </c>
      <c r="D732" t="s">
        <v>491</v>
      </c>
      <c r="E732" t="s">
        <v>634</v>
      </c>
      <c r="F732" t="s">
        <v>31</v>
      </c>
      <c r="G732" t="s">
        <v>47</v>
      </c>
      <c r="H732" t="s">
        <v>48</v>
      </c>
      <c r="I732" t="s">
        <v>49</v>
      </c>
      <c r="J732" t="s">
        <v>64</v>
      </c>
      <c r="K732" t="s">
        <v>104</v>
      </c>
      <c r="L732" t="s">
        <v>1332</v>
      </c>
      <c r="M732" s="1">
        <v>19468.419999999998</v>
      </c>
      <c r="N732">
        <v>10</v>
      </c>
      <c r="O732" s="2">
        <v>0.1</v>
      </c>
      <c r="P732" s="1">
        <v>3259.29</v>
      </c>
      <c r="Q732" t="s">
        <v>27</v>
      </c>
      <c r="R732" t="s">
        <v>28</v>
      </c>
    </row>
    <row r="733" spans="1:18" x14ac:dyDescent="0.3">
      <c r="A733">
        <v>1732</v>
      </c>
      <c r="B733" s="3">
        <v>45426</v>
      </c>
      <c r="C733" s="3">
        <v>45428</v>
      </c>
      <c r="D733" t="s">
        <v>1333</v>
      </c>
      <c r="E733" t="s">
        <v>607</v>
      </c>
      <c r="F733" t="s">
        <v>46</v>
      </c>
      <c r="G733" t="s">
        <v>112</v>
      </c>
      <c r="H733" t="s">
        <v>113</v>
      </c>
      <c r="I733" t="s">
        <v>49</v>
      </c>
      <c r="J733" t="s">
        <v>35</v>
      </c>
      <c r="K733" t="s">
        <v>42</v>
      </c>
      <c r="L733" t="s">
        <v>1334</v>
      </c>
      <c r="M733" s="1">
        <v>34865.919999999998</v>
      </c>
      <c r="N733">
        <v>3</v>
      </c>
      <c r="O733" s="2">
        <v>0.2</v>
      </c>
      <c r="P733" s="1">
        <v>7654.07</v>
      </c>
      <c r="Q733" t="s">
        <v>27</v>
      </c>
      <c r="R733" t="s">
        <v>53</v>
      </c>
    </row>
    <row r="734" spans="1:18" x14ac:dyDescent="0.3">
      <c r="A734">
        <v>1733</v>
      </c>
      <c r="B734" s="3">
        <v>45430</v>
      </c>
      <c r="C734" s="3">
        <v>45432</v>
      </c>
      <c r="D734" t="s">
        <v>591</v>
      </c>
      <c r="E734" t="s">
        <v>434</v>
      </c>
      <c r="F734" t="s">
        <v>20</v>
      </c>
      <c r="G734" t="s">
        <v>21</v>
      </c>
      <c r="H734" t="s">
        <v>22</v>
      </c>
      <c r="I734" t="s">
        <v>23</v>
      </c>
      <c r="J734" t="s">
        <v>64</v>
      </c>
      <c r="K734" t="s">
        <v>188</v>
      </c>
      <c r="L734" t="s">
        <v>1335</v>
      </c>
      <c r="M734" s="1">
        <v>25234.48</v>
      </c>
      <c r="N734">
        <v>2</v>
      </c>
      <c r="O734" s="2">
        <v>0.15</v>
      </c>
      <c r="P734" s="1">
        <v>3977.35</v>
      </c>
      <c r="Q734" t="s">
        <v>27</v>
      </c>
      <c r="R734" t="s">
        <v>53</v>
      </c>
    </row>
    <row r="735" spans="1:18" x14ac:dyDescent="0.3">
      <c r="A735">
        <v>1734</v>
      </c>
      <c r="B735" s="3">
        <v>45475</v>
      </c>
      <c r="C735" s="3">
        <v>45476</v>
      </c>
      <c r="D735" t="s">
        <v>54</v>
      </c>
      <c r="E735" t="s">
        <v>149</v>
      </c>
      <c r="F735" t="s">
        <v>31</v>
      </c>
      <c r="G735" t="s">
        <v>102</v>
      </c>
      <c r="H735" t="s">
        <v>103</v>
      </c>
      <c r="I735" t="s">
        <v>58</v>
      </c>
      <c r="J735" t="s">
        <v>35</v>
      </c>
      <c r="K735" t="s">
        <v>36</v>
      </c>
      <c r="L735" t="s">
        <v>1336</v>
      </c>
      <c r="M735" s="1">
        <v>15343.79</v>
      </c>
      <c r="N735">
        <v>4</v>
      </c>
      <c r="O735" s="2">
        <v>0</v>
      </c>
      <c r="P735" s="1">
        <v>1859.36</v>
      </c>
      <c r="Q735" t="s">
        <v>27</v>
      </c>
      <c r="R735" t="s">
        <v>39</v>
      </c>
    </row>
    <row r="736" spans="1:18" x14ac:dyDescent="0.3">
      <c r="A736">
        <v>1735</v>
      </c>
      <c r="B736" s="3">
        <v>45302</v>
      </c>
      <c r="C736" s="3">
        <v>45306</v>
      </c>
      <c r="D736" t="s">
        <v>933</v>
      </c>
      <c r="E736" t="s">
        <v>1337</v>
      </c>
      <c r="F736" t="s">
        <v>20</v>
      </c>
      <c r="G736" t="s">
        <v>32</v>
      </c>
      <c r="H736" t="s">
        <v>33</v>
      </c>
      <c r="I736" t="s">
        <v>34</v>
      </c>
      <c r="J736" t="s">
        <v>35</v>
      </c>
      <c r="K736" t="s">
        <v>129</v>
      </c>
      <c r="L736" t="s">
        <v>1338</v>
      </c>
      <c r="M736" s="1">
        <v>14415.3</v>
      </c>
      <c r="N736">
        <v>3</v>
      </c>
      <c r="O736" s="2">
        <v>0</v>
      </c>
      <c r="P736" s="1">
        <v>3296</v>
      </c>
      <c r="Q736" t="s">
        <v>115</v>
      </c>
      <c r="R736" t="s">
        <v>53</v>
      </c>
    </row>
    <row r="737" spans="1:18" x14ac:dyDescent="0.3">
      <c r="A737">
        <v>1736</v>
      </c>
      <c r="B737" s="3">
        <v>45527</v>
      </c>
      <c r="C737" s="3">
        <v>45528</v>
      </c>
      <c r="D737" t="s">
        <v>983</v>
      </c>
      <c r="E737" t="s">
        <v>889</v>
      </c>
      <c r="F737" t="s">
        <v>20</v>
      </c>
      <c r="G737" t="s">
        <v>21</v>
      </c>
      <c r="H737" t="s">
        <v>22</v>
      </c>
      <c r="I737" t="s">
        <v>23</v>
      </c>
      <c r="J737" t="s">
        <v>24</v>
      </c>
      <c r="K737" t="s">
        <v>72</v>
      </c>
      <c r="L737" t="s">
        <v>1339</v>
      </c>
      <c r="M737" s="1">
        <v>3606.31</v>
      </c>
      <c r="N737">
        <v>1</v>
      </c>
      <c r="O737" s="2">
        <v>0</v>
      </c>
      <c r="P737" s="1">
        <v>312.63</v>
      </c>
      <c r="Q737" t="s">
        <v>27</v>
      </c>
      <c r="R737" t="s">
        <v>120</v>
      </c>
    </row>
    <row r="738" spans="1:18" x14ac:dyDescent="0.3">
      <c r="A738">
        <v>1737</v>
      </c>
      <c r="B738" s="3">
        <v>45557</v>
      </c>
      <c r="C738" s="3">
        <v>45560</v>
      </c>
      <c r="D738" t="s">
        <v>410</v>
      </c>
      <c r="E738" t="s">
        <v>1074</v>
      </c>
      <c r="F738" t="s">
        <v>31</v>
      </c>
      <c r="G738" t="s">
        <v>85</v>
      </c>
      <c r="H738" t="s">
        <v>86</v>
      </c>
      <c r="I738" t="s">
        <v>49</v>
      </c>
      <c r="J738" t="s">
        <v>35</v>
      </c>
      <c r="K738" t="s">
        <v>36</v>
      </c>
      <c r="L738" t="s">
        <v>1340</v>
      </c>
      <c r="M738" s="1">
        <v>74529.25</v>
      </c>
      <c r="N738">
        <v>6</v>
      </c>
      <c r="O738" s="2">
        <v>0.15</v>
      </c>
      <c r="P738" s="1">
        <v>2671.28</v>
      </c>
      <c r="Q738" t="s">
        <v>74</v>
      </c>
      <c r="R738" t="s">
        <v>28</v>
      </c>
    </row>
    <row r="739" spans="1:18" x14ac:dyDescent="0.3">
      <c r="A739">
        <v>1738</v>
      </c>
      <c r="B739" s="3">
        <v>45790</v>
      </c>
      <c r="C739" s="3">
        <v>45794</v>
      </c>
      <c r="D739" t="s">
        <v>708</v>
      </c>
      <c r="E739" t="s">
        <v>498</v>
      </c>
      <c r="F739" t="s">
        <v>20</v>
      </c>
      <c r="G739" t="s">
        <v>95</v>
      </c>
      <c r="H739" t="s">
        <v>22</v>
      </c>
      <c r="I739" t="s">
        <v>23</v>
      </c>
      <c r="J739" t="s">
        <v>64</v>
      </c>
      <c r="K739" t="s">
        <v>188</v>
      </c>
      <c r="L739" t="s">
        <v>1341</v>
      </c>
      <c r="M739" s="1">
        <v>67962.66</v>
      </c>
      <c r="N739">
        <v>6</v>
      </c>
      <c r="O739" s="2">
        <v>0.1</v>
      </c>
      <c r="P739" s="1">
        <v>7128.94</v>
      </c>
      <c r="Q739" t="s">
        <v>82</v>
      </c>
      <c r="R739" t="s">
        <v>53</v>
      </c>
    </row>
    <row r="740" spans="1:18" x14ac:dyDescent="0.3">
      <c r="A740">
        <v>1739</v>
      </c>
      <c r="B740" s="3">
        <v>45928</v>
      </c>
      <c r="C740" s="3">
        <v>45933</v>
      </c>
      <c r="D740" t="s">
        <v>1061</v>
      </c>
      <c r="E740" t="s">
        <v>719</v>
      </c>
      <c r="F740" t="s">
        <v>31</v>
      </c>
      <c r="G740" t="s">
        <v>107</v>
      </c>
      <c r="H740" t="s">
        <v>108</v>
      </c>
      <c r="I740" t="s">
        <v>34</v>
      </c>
      <c r="J740" t="s">
        <v>24</v>
      </c>
      <c r="K740" t="s">
        <v>25</v>
      </c>
      <c r="L740" t="s">
        <v>1342</v>
      </c>
      <c r="M740" s="1">
        <v>56116.9</v>
      </c>
      <c r="N740">
        <v>7</v>
      </c>
      <c r="O740" s="2">
        <v>0.05</v>
      </c>
      <c r="P740" s="1">
        <v>12783.2</v>
      </c>
      <c r="Q740" t="s">
        <v>67</v>
      </c>
      <c r="R740" t="s">
        <v>39</v>
      </c>
    </row>
    <row r="741" spans="1:18" x14ac:dyDescent="0.3">
      <c r="A741">
        <v>1740</v>
      </c>
      <c r="B741" s="3">
        <v>45810</v>
      </c>
      <c r="C741" s="3">
        <v>45813</v>
      </c>
      <c r="D741" t="s">
        <v>311</v>
      </c>
      <c r="E741" t="s">
        <v>353</v>
      </c>
      <c r="F741" t="s">
        <v>46</v>
      </c>
      <c r="G741" t="s">
        <v>95</v>
      </c>
      <c r="H741" t="s">
        <v>22</v>
      </c>
      <c r="I741" t="s">
        <v>23</v>
      </c>
      <c r="J741" t="s">
        <v>24</v>
      </c>
      <c r="K741" t="s">
        <v>212</v>
      </c>
      <c r="L741" t="s">
        <v>1343</v>
      </c>
      <c r="M741" s="1">
        <v>41832.339999999997</v>
      </c>
      <c r="N741">
        <v>5</v>
      </c>
      <c r="O741" s="2">
        <v>0.2</v>
      </c>
      <c r="P741" s="1">
        <v>3570.1</v>
      </c>
      <c r="Q741" t="s">
        <v>27</v>
      </c>
      <c r="R741" t="s">
        <v>28</v>
      </c>
    </row>
    <row r="742" spans="1:18" x14ac:dyDescent="0.3">
      <c r="A742">
        <v>1741</v>
      </c>
      <c r="B742" s="3">
        <v>45344</v>
      </c>
      <c r="C742" s="3">
        <v>45350</v>
      </c>
      <c r="D742" t="s">
        <v>1153</v>
      </c>
      <c r="E742" t="s">
        <v>1015</v>
      </c>
      <c r="F742" t="s">
        <v>20</v>
      </c>
      <c r="G742" t="s">
        <v>47</v>
      </c>
      <c r="H742" t="s">
        <v>48</v>
      </c>
      <c r="I742" t="s">
        <v>49</v>
      </c>
      <c r="J742" t="s">
        <v>64</v>
      </c>
      <c r="K742" t="s">
        <v>104</v>
      </c>
      <c r="L742" t="s">
        <v>1344</v>
      </c>
      <c r="M742" s="1">
        <v>43067.78</v>
      </c>
      <c r="N742">
        <v>7</v>
      </c>
      <c r="O742" s="2">
        <v>0.05</v>
      </c>
      <c r="P742" s="1">
        <v>6842.85</v>
      </c>
      <c r="Q742" t="s">
        <v>82</v>
      </c>
      <c r="R742" t="s">
        <v>39</v>
      </c>
    </row>
    <row r="743" spans="1:18" x14ac:dyDescent="0.3">
      <c r="A743">
        <v>1742</v>
      </c>
      <c r="B743" s="3">
        <v>45994</v>
      </c>
      <c r="C743" s="3">
        <v>45997</v>
      </c>
      <c r="D743" t="s">
        <v>1345</v>
      </c>
      <c r="E743" t="s">
        <v>629</v>
      </c>
      <c r="F743" t="s">
        <v>46</v>
      </c>
      <c r="G743" t="s">
        <v>85</v>
      </c>
      <c r="H743" t="s">
        <v>86</v>
      </c>
      <c r="I743" t="s">
        <v>49</v>
      </c>
      <c r="J743" t="s">
        <v>35</v>
      </c>
      <c r="K743" t="s">
        <v>36</v>
      </c>
      <c r="L743" t="s">
        <v>1346</v>
      </c>
      <c r="M743" s="1">
        <v>32602.29</v>
      </c>
      <c r="N743">
        <v>1</v>
      </c>
      <c r="O743" s="2">
        <v>0.05</v>
      </c>
      <c r="P743" s="1">
        <v>4199.28</v>
      </c>
      <c r="Q743" t="s">
        <v>61</v>
      </c>
      <c r="R743" t="s">
        <v>39</v>
      </c>
    </row>
    <row r="744" spans="1:18" x14ac:dyDescent="0.3">
      <c r="A744">
        <v>1743</v>
      </c>
      <c r="B744" s="3">
        <v>45773</v>
      </c>
      <c r="C744" s="3">
        <v>45779</v>
      </c>
      <c r="D744" t="s">
        <v>1028</v>
      </c>
      <c r="E744" t="s">
        <v>456</v>
      </c>
      <c r="F744" t="s">
        <v>31</v>
      </c>
      <c r="G744" t="s">
        <v>21</v>
      </c>
      <c r="H744" t="s">
        <v>22</v>
      </c>
      <c r="I744" t="s">
        <v>23</v>
      </c>
      <c r="J744" t="s">
        <v>35</v>
      </c>
      <c r="K744" t="s">
        <v>36</v>
      </c>
      <c r="L744" t="s">
        <v>1347</v>
      </c>
      <c r="M744" s="1">
        <v>86016.81</v>
      </c>
      <c r="N744">
        <v>1</v>
      </c>
      <c r="O744" s="2">
        <v>0.15</v>
      </c>
      <c r="P744" s="1">
        <v>13989.84</v>
      </c>
      <c r="Q744" t="s">
        <v>38</v>
      </c>
      <c r="R744" t="s">
        <v>39</v>
      </c>
    </row>
    <row r="745" spans="1:18" x14ac:dyDescent="0.3">
      <c r="A745">
        <v>1744</v>
      </c>
      <c r="B745" s="3">
        <v>45931</v>
      </c>
      <c r="C745" s="3">
        <v>45932</v>
      </c>
      <c r="D745" t="s">
        <v>687</v>
      </c>
      <c r="E745" t="s">
        <v>998</v>
      </c>
      <c r="F745" t="s">
        <v>31</v>
      </c>
      <c r="G745" t="s">
        <v>56</v>
      </c>
      <c r="H745" t="s">
        <v>57</v>
      </c>
      <c r="I745" t="s">
        <v>58</v>
      </c>
      <c r="J745" t="s">
        <v>24</v>
      </c>
      <c r="K745" t="s">
        <v>212</v>
      </c>
      <c r="L745" t="s">
        <v>1348</v>
      </c>
      <c r="M745" s="1">
        <v>87618.7</v>
      </c>
      <c r="N745">
        <v>6</v>
      </c>
      <c r="O745" s="2">
        <v>0</v>
      </c>
      <c r="P745" s="1">
        <v>7883.61</v>
      </c>
      <c r="Q745" t="s">
        <v>38</v>
      </c>
      <c r="R745" t="s">
        <v>28</v>
      </c>
    </row>
    <row r="746" spans="1:18" x14ac:dyDescent="0.3">
      <c r="A746">
        <v>1745</v>
      </c>
      <c r="B746" s="3">
        <v>45633</v>
      </c>
      <c r="C746" s="3">
        <v>45635</v>
      </c>
      <c r="D746" t="s">
        <v>173</v>
      </c>
      <c r="E746" t="s">
        <v>584</v>
      </c>
      <c r="F746" t="s">
        <v>46</v>
      </c>
      <c r="G746" t="s">
        <v>21</v>
      </c>
      <c r="H746" t="s">
        <v>22</v>
      </c>
      <c r="I746" t="s">
        <v>23</v>
      </c>
      <c r="J746" t="s">
        <v>64</v>
      </c>
      <c r="K746" t="s">
        <v>80</v>
      </c>
      <c r="L746" t="s">
        <v>1349</v>
      </c>
      <c r="M746" s="1">
        <v>14968.04</v>
      </c>
      <c r="N746">
        <v>6</v>
      </c>
      <c r="O746" s="2">
        <v>0.05</v>
      </c>
      <c r="P746" s="1">
        <v>4161.72</v>
      </c>
      <c r="Q746" t="s">
        <v>67</v>
      </c>
      <c r="R746" t="s">
        <v>120</v>
      </c>
    </row>
    <row r="747" spans="1:18" x14ac:dyDescent="0.3">
      <c r="A747">
        <v>1746</v>
      </c>
      <c r="B747" s="3">
        <v>45602</v>
      </c>
      <c r="C747" s="3">
        <v>45605</v>
      </c>
      <c r="D747" t="s">
        <v>800</v>
      </c>
      <c r="E747" t="s">
        <v>184</v>
      </c>
      <c r="F747" t="s">
        <v>31</v>
      </c>
      <c r="G747" t="s">
        <v>112</v>
      </c>
      <c r="H747" t="s">
        <v>113</v>
      </c>
      <c r="I747" t="s">
        <v>49</v>
      </c>
      <c r="J747" t="s">
        <v>24</v>
      </c>
      <c r="K747" t="s">
        <v>224</v>
      </c>
      <c r="L747" t="s">
        <v>1350</v>
      </c>
      <c r="M747" s="1">
        <v>32080.26</v>
      </c>
      <c r="N747">
        <v>10</v>
      </c>
      <c r="O747" s="2">
        <v>0</v>
      </c>
      <c r="P747" s="1">
        <v>9065.5400000000009</v>
      </c>
      <c r="Q747" t="s">
        <v>38</v>
      </c>
      <c r="R747" t="s">
        <v>53</v>
      </c>
    </row>
    <row r="748" spans="1:18" x14ac:dyDescent="0.3">
      <c r="A748">
        <v>1747</v>
      </c>
      <c r="B748" s="3">
        <v>45610</v>
      </c>
      <c r="C748" s="3">
        <v>45613</v>
      </c>
      <c r="D748" t="s">
        <v>611</v>
      </c>
      <c r="E748" t="s">
        <v>421</v>
      </c>
      <c r="F748" t="s">
        <v>46</v>
      </c>
      <c r="G748" t="s">
        <v>70</v>
      </c>
      <c r="H748" t="s">
        <v>71</v>
      </c>
      <c r="I748" t="s">
        <v>58</v>
      </c>
      <c r="J748" t="s">
        <v>24</v>
      </c>
      <c r="K748" t="s">
        <v>212</v>
      </c>
      <c r="L748" t="s">
        <v>1351</v>
      </c>
      <c r="M748" s="1">
        <v>22944.95</v>
      </c>
      <c r="N748">
        <v>8</v>
      </c>
      <c r="O748" s="2">
        <v>0.1</v>
      </c>
      <c r="P748" s="1">
        <v>4088.8</v>
      </c>
      <c r="Q748" t="s">
        <v>67</v>
      </c>
      <c r="R748" t="s">
        <v>53</v>
      </c>
    </row>
    <row r="749" spans="1:18" x14ac:dyDescent="0.3">
      <c r="A749">
        <v>1748</v>
      </c>
      <c r="B749" s="3">
        <v>45605</v>
      </c>
      <c r="C749" s="3">
        <v>45607</v>
      </c>
      <c r="D749" t="s">
        <v>1150</v>
      </c>
      <c r="E749" t="s">
        <v>733</v>
      </c>
      <c r="F749" t="s">
        <v>31</v>
      </c>
      <c r="G749" t="s">
        <v>85</v>
      </c>
      <c r="H749" t="s">
        <v>86</v>
      </c>
      <c r="I749" t="s">
        <v>49</v>
      </c>
      <c r="J749" t="s">
        <v>24</v>
      </c>
      <c r="K749" t="s">
        <v>212</v>
      </c>
      <c r="L749" t="s">
        <v>1352</v>
      </c>
      <c r="M749" s="1">
        <v>85216.81</v>
      </c>
      <c r="N749">
        <v>10</v>
      </c>
      <c r="O749" s="2">
        <v>0.25</v>
      </c>
      <c r="P749" s="1">
        <v>16902.82</v>
      </c>
      <c r="Q749" t="s">
        <v>27</v>
      </c>
      <c r="R749" t="s">
        <v>28</v>
      </c>
    </row>
    <row r="750" spans="1:18" x14ac:dyDescent="0.3">
      <c r="A750">
        <v>1749</v>
      </c>
      <c r="B750" s="3">
        <v>45501</v>
      </c>
      <c r="C750" s="3">
        <v>45504</v>
      </c>
      <c r="D750" t="s">
        <v>196</v>
      </c>
      <c r="E750" t="s">
        <v>1180</v>
      </c>
      <c r="F750" t="s">
        <v>20</v>
      </c>
      <c r="G750" t="s">
        <v>70</v>
      </c>
      <c r="H750" t="s">
        <v>71</v>
      </c>
      <c r="I750" t="s">
        <v>58</v>
      </c>
      <c r="J750" t="s">
        <v>35</v>
      </c>
      <c r="K750" t="s">
        <v>129</v>
      </c>
      <c r="L750" t="s">
        <v>1353</v>
      </c>
      <c r="M750" s="1">
        <v>62393.02</v>
      </c>
      <c r="N750">
        <v>5</v>
      </c>
      <c r="O750" s="2">
        <v>0.15</v>
      </c>
      <c r="P750" s="1">
        <v>8093.21</v>
      </c>
      <c r="Q750" t="s">
        <v>38</v>
      </c>
      <c r="R750" t="s">
        <v>53</v>
      </c>
    </row>
    <row r="751" spans="1:18" x14ac:dyDescent="0.3">
      <c r="A751">
        <v>1750</v>
      </c>
      <c r="B751" s="3">
        <v>45430</v>
      </c>
      <c r="C751" s="3">
        <v>45436</v>
      </c>
      <c r="D751" t="s">
        <v>829</v>
      </c>
      <c r="E751" t="s">
        <v>381</v>
      </c>
      <c r="F751" t="s">
        <v>46</v>
      </c>
      <c r="G751" t="s">
        <v>112</v>
      </c>
      <c r="H751" t="s">
        <v>113</v>
      </c>
      <c r="I751" t="s">
        <v>49</v>
      </c>
      <c r="J751" t="s">
        <v>64</v>
      </c>
      <c r="K751" t="s">
        <v>104</v>
      </c>
      <c r="L751" t="s">
        <v>1354</v>
      </c>
      <c r="M751" s="1">
        <v>61492.959999999999</v>
      </c>
      <c r="N751">
        <v>2</v>
      </c>
      <c r="O751" s="2">
        <v>0.3</v>
      </c>
      <c r="P751" s="1">
        <v>7464.69</v>
      </c>
      <c r="Q751" t="s">
        <v>52</v>
      </c>
      <c r="R751" t="s">
        <v>28</v>
      </c>
    </row>
    <row r="752" spans="1:18" x14ac:dyDescent="0.3">
      <c r="A752">
        <v>1751</v>
      </c>
      <c r="B752" s="3">
        <v>45317</v>
      </c>
      <c r="C752" s="3">
        <v>45323</v>
      </c>
      <c r="D752" t="s">
        <v>355</v>
      </c>
      <c r="E752" t="s">
        <v>427</v>
      </c>
      <c r="F752" t="s">
        <v>46</v>
      </c>
      <c r="G752" t="s">
        <v>32</v>
      </c>
      <c r="H752" t="s">
        <v>33</v>
      </c>
      <c r="I752" t="s">
        <v>34</v>
      </c>
      <c r="J752" t="s">
        <v>24</v>
      </c>
      <c r="K752" t="s">
        <v>25</v>
      </c>
      <c r="L752" t="s">
        <v>1355</v>
      </c>
      <c r="M752" s="1">
        <v>13102.7</v>
      </c>
      <c r="N752">
        <v>5</v>
      </c>
      <c r="O752" s="2">
        <v>0.3</v>
      </c>
      <c r="P752" s="1">
        <v>446.26</v>
      </c>
      <c r="Q752" t="s">
        <v>67</v>
      </c>
      <c r="R752" t="s">
        <v>39</v>
      </c>
    </row>
    <row r="753" spans="1:18" x14ac:dyDescent="0.3">
      <c r="A753">
        <v>1752</v>
      </c>
      <c r="B753" s="3">
        <v>45574</v>
      </c>
      <c r="C753" s="3">
        <v>45576</v>
      </c>
      <c r="D753" t="s">
        <v>1286</v>
      </c>
      <c r="E753" t="s">
        <v>200</v>
      </c>
      <c r="F753" t="s">
        <v>46</v>
      </c>
      <c r="G753" t="s">
        <v>102</v>
      </c>
      <c r="H753" t="s">
        <v>103</v>
      </c>
      <c r="I753" t="s">
        <v>58</v>
      </c>
      <c r="J753" t="s">
        <v>64</v>
      </c>
      <c r="K753" t="s">
        <v>80</v>
      </c>
      <c r="L753" t="s">
        <v>1356</v>
      </c>
      <c r="M753" s="1">
        <v>43310.6</v>
      </c>
      <c r="N753">
        <v>8</v>
      </c>
      <c r="O753" s="2">
        <v>0.25</v>
      </c>
      <c r="P753" s="1">
        <v>5626.74</v>
      </c>
      <c r="Q753" t="s">
        <v>52</v>
      </c>
      <c r="R753" t="s">
        <v>53</v>
      </c>
    </row>
    <row r="754" spans="1:18" x14ac:dyDescent="0.3">
      <c r="A754">
        <v>1753</v>
      </c>
      <c r="B754" s="3">
        <v>45355</v>
      </c>
      <c r="C754" s="3">
        <v>45361</v>
      </c>
      <c r="D754" t="s">
        <v>68</v>
      </c>
      <c r="E754" t="s">
        <v>1357</v>
      </c>
      <c r="F754" t="s">
        <v>31</v>
      </c>
      <c r="G754" t="s">
        <v>85</v>
      </c>
      <c r="H754" t="s">
        <v>86</v>
      </c>
      <c r="I754" t="s">
        <v>49</v>
      </c>
      <c r="J754" t="s">
        <v>35</v>
      </c>
      <c r="K754" t="s">
        <v>129</v>
      </c>
      <c r="L754" t="s">
        <v>1358</v>
      </c>
      <c r="M754" s="1">
        <v>18563.599999999999</v>
      </c>
      <c r="N754">
        <v>9</v>
      </c>
      <c r="O754" s="2">
        <v>0.1</v>
      </c>
      <c r="P754" s="1">
        <v>2491</v>
      </c>
      <c r="Q754" t="s">
        <v>115</v>
      </c>
      <c r="R754" t="s">
        <v>39</v>
      </c>
    </row>
    <row r="755" spans="1:18" x14ac:dyDescent="0.3">
      <c r="A755">
        <v>1754</v>
      </c>
      <c r="B755" s="3">
        <v>45878</v>
      </c>
      <c r="C755" s="3">
        <v>45883</v>
      </c>
      <c r="D755" t="s">
        <v>658</v>
      </c>
      <c r="E755" t="s">
        <v>1359</v>
      </c>
      <c r="F755" t="s">
        <v>46</v>
      </c>
      <c r="G755" t="s">
        <v>90</v>
      </c>
      <c r="H755" t="s">
        <v>91</v>
      </c>
      <c r="I755" t="s">
        <v>23</v>
      </c>
      <c r="J755" t="s">
        <v>64</v>
      </c>
      <c r="K755" t="s">
        <v>157</v>
      </c>
      <c r="L755" t="s">
        <v>1360</v>
      </c>
      <c r="M755" s="1">
        <v>68446.929999999993</v>
      </c>
      <c r="N755">
        <v>6</v>
      </c>
      <c r="O755" s="2">
        <v>0.05</v>
      </c>
      <c r="P755" s="1">
        <v>16288.89</v>
      </c>
      <c r="Q755" t="s">
        <v>74</v>
      </c>
      <c r="R755" t="s">
        <v>39</v>
      </c>
    </row>
    <row r="756" spans="1:18" x14ac:dyDescent="0.3">
      <c r="A756">
        <v>1755</v>
      </c>
      <c r="B756" s="3">
        <v>45344</v>
      </c>
      <c r="C756" s="3">
        <v>45349</v>
      </c>
      <c r="D756" t="s">
        <v>1065</v>
      </c>
      <c r="E756" t="s">
        <v>106</v>
      </c>
      <c r="F756" t="s">
        <v>20</v>
      </c>
      <c r="G756" t="s">
        <v>95</v>
      </c>
      <c r="H756" t="s">
        <v>22</v>
      </c>
      <c r="I756" t="s">
        <v>23</v>
      </c>
      <c r="J756" t="s">
        <v>64</v>
      </c>
      <c r="K756" t="s">
        <v>104</v>
      </c>
      <c r="L756" t="s">
        <v>1361</v>
      </c>
      <c r="M756" s="1">
        <v>67304.820000000007</v>
      </c>
      <c r="N756">
        <v>9</v>
      </c>
      <c r="O756" s="2">
        <v>0.25</v>
      </c>
      <c r="P756" s="1">
        <v>12980.2</v>
      </c>
      <c r="Q756" t="s">
        <v>82</v>
      </c>
      <c r="R756" t="s">
        <v>39</v>
      </c>
    </row>
    <row r="757" spans="1:18" x14ac:dyDescent="0.3">
      <c r="A757">
        <v>1756</v>
      </c>
      <c r="B757" s="3">
        <v>45638</v>
      </c>
      <c r="C757" s="3">
        <v>45640</v>
      </c>
      <c r="D757" t="s">
        <v>116</v>
      </c>
      <c r="E757" t="s">
        <v>281</v>
      </c>
      <c r="F757" t="s">
        <v>46</v>
      </c>
      <c r="G757" t="s">
        <v>102</v>
      </c>
      <c r="H757" t="s">
        <v>103</v>
      </c>
      <c r="I757" t="s">
        <v>58</v>
      </c>
      <c r="J757" t="s">
        <v>64</v>
      </c>
      <c r="K757" t="s">
        <v>80</v>
      </c>
      <c r="L757" t="s">
        <v>1362</v>
      </c>
      <c r="M757" s="1">
        <v>24115.81</v>
      </c>
      <c r="N757">
        <v>3</v>
      </c>
      <c r="O757" s="2">
        <v>0.3</v>
      </c>
      <c r="P757" s="1">
        <v>-335.71</v>
      </c>
      <c r="Q757" t="s">
        <v>27</v>
      </c>
      <c r="R757" t="s">
        <v>53</v>
      </c>
    </row>
    <row r="758" spans="1:18" x14ac:dyDescent="0.3">
      <c r="A758">
        <v>1757</v>
      </c>
      <c r="B758" s="3">
        <v>45928</v>
      </c>
      <c r="C758" s="3">
        <v>45931</v>
      </c>
      <c r="D758" t="s">
        <v>792</v>
      </c>
      <c r="E758" t="s">
        <v>1106</v>
      </c>
      <c r="F758" t="s">
        <v>20</v>
      </c>
      <c r="G758" t="s">
        <v>95</v>
      </c>
      <c r="H758" t="s">
        <v>22</v>
      </c>
      <c r="I758" t="s">
        <v>23</v>
      </c>
      <c r="J758" t="s">
        <v>64</v>
      </c>
      <c r="K758" t="s">
        <v>188</v>
      </c>
      <c r="L758" t="s">
        <v>1363</v>
      </c>
      <c r="M758" s="1">
        <v>79890.97</v>
      </c>
      <c r="N758">
        <v>9</v>
      </c>
      <c r="O758" s="2">
        <v>0.05</v>
      </c>
      <c r="P758" s="1">
        <v>19337.009999999998</v>
      </c>
      <c r="Q758" t="s">
        <v>115</v>
      </c>
      <c r="R758" t="s">
        <v>28</v>
      </c>
    </row>
    <row r="759" spans="1:18" x14ac:dyDescent="0.3">
      <c r="A759">
        <v>1758</v>
      </c>
      <c r="B759" s="3">
        <v>45661</v>
      </c>
      <c r="C759" s="3">
        <v>45665</v>
      </c>
      <c r="D759" t="s">
        <v>204</v>
      </c>
      <c r="E759" t="s">
        <v>519</v>
      </c>
      <c r="F759" t="s">
        <v>31</v>
      </c>
      <c r="G759" t="s">
        <v>47</v>
      </c>
      <c r="H759" t="s">
        <v>48</v>
      </c>
      <c r="I759" t="s">
        <v>49</v>
      </c>
      <c r="J759" t="s">
        <v>24</v>
      </c>
      <c r="K759" t="s">
        <v>212</v>
      </c>
      <c r="L759" t="s">
        <v>1113</v>
      </c>
      <c r="M759" s="1">
        <v>77390.17</v>
      </c>
      <c r="N759">
        <v>6</v>
      </c>
      <c r="O759" s="2">
        <v>0.1</v>
      </c>
      <c r="P759" s="1">
        <v>11067.4</v>
      </c>
      <c r="Q759" t="s">
        <v>61</v>
      </c>
      <c r="R759" t="s">
        <v>39</v>
      </c>
    </row>
    <row r="760" spans="1:18" x14ac:dyDescent="0.3">
      <c r="A760">
        <v>1759</v>
      </c>
      <c r="B760" s="3">
        <v>45624</v>
      </c>
      <c r="C760" s="3">
        <v>45630</v>
      </c>
      <c r="D760" t="s">
        <v>1022</v>
      </c>
      <c r="E760" t="s">
        <v>227</v>
      </c>
      <c r="F760" t="s">
        <v>20</v>
      </c>
      <c r="G760" t="s">
        <v>107</v>
      </c>
      <c r="H760" t="s">
        <v>108</v>
      </c>
      <c r="I760" t="s">
        <v>34</v>
      </c>
      <c r="J760" t="s">
        <v>35</v>
      </c>
      <c r="K760" t="s">
        <v>42</v>
      </c>
      <c r="L760" t="s">
        <v>1364</v>
      </c>
      <c r="M760" s="1">
        <v>49384.7</v>
      </c>
      <c r="N760">
        <v>3</v>
      </c>
      <c r="O760" s="2">
        <v>0.1</v>
      </c>
      <c r="P760" s="1">
        <v>7807.47</v>
      </c>
      <c r="Q760" t="s">
        <v>115</v>
      </c>
      <c r="R760" t="s">
        <v>28</v>
      </c>
    </row>
    <row r="761" spans="1:18" x14ac:dyDescent="0.3">
      <c r="A761">
        <v>1760</v>
      </c>
      <c r="B761" s="3">
        <v>45302</v>
      </c>
      <c r="C761" s="3">
        <v>45304</v>
      </c>
      <c r="D761" t="s">
        <v>380</v>
      </c>
      <c r="E761" t="s">
        <v>1258</v>
      </c>
      <c r="F761" t="s">
        <v>31</v>
      </c>
      <c r="G761" t="s">
        <v>56</v>
      </c>
      <c r="H761" t="s">
        <v>57</v>
      </c>
      <c r="I761" t="s">
        <v>58</v>
      </c>
      <c r="J761" t="s">
        <v>64</v>
      </c>
      <c r="K761" t="s">
        <v>188</v>
      </c>
      <c r="L761" t="s">
        <v>1365</v>
      </c>
      <c r="M761" s="1">
        <v>10425.450000000001</v>
      </c>
      <c r="N761">
        <v>9</v>
      </c>
      <c r="O761" s="2">
        <v>0.2</v>
      </c>
      <c r="P761" s="1">
        <v>1003.6</v>
      </c>
      <c r="Q761" t="s">
        <v>61</v>
      </c>
      <c r="R761" t="s">
        <v>28</v>
      </c>
    </row>
    <row r="762" spans="1:18" x14ac:dyDescent="0.3">
      <c r="A762">
        <v>1761</v>
      </c>
      <c r="B762" s="3">
        <v>45794</v>
      </c>
      <c r="C762" s="3">
        <v>45799</v>
      </c>
      <c r="D762" t="s">
        <v>787</v>
      </c>
      <c r="E762" t="s">
        <v>885</v>
      </c>
      <c r="F762" t="s">
        <v>20</v>
      </c>
      <c r="G762" t="s">
        <v>112</v>
      </c>
      <c r="H762" t="s">
        <v>113</v>
      </c>
      <c r="I762" t="s">
        <v>49</v>
      </c>
      <c r="J762" t="s">
        <v>35</v>
      </c>
      <c r="K762" t="s">
        <v>129</v>
      </c>
      <c r="L762" t="s">
        <v>655</v>
      </c>
      <c r="M762" s="1">
        <v>71669.789999999994</v>
      </c>
      <c r="N762">
        <v>6</v>
      </c>
      <c r="O762" s="2">
        <v>0.2</v>
      </c>
      <c r="P762" s="1">
        <v>12077.03</v>
      </c>
      <c r="Q762" t="s">
        <v>52</v>
      </c>
      <c r="R762" t="s">
        <v>120</v>
      </c>
    </row>
    <row r="763" spans="1:18" x14ac:dyDescent="0.3">
      <c r="A763">
        <v>1762</v>
      </c>
      <c r="B763" s="3">
        <v>45832</v>
      </c>
      <c r="C763" s="3">
        <v>45834</v>
      </c>
      <c r="D763" t="s">
        <v>358</v>
      </c>
      <c r="E763" t="s">
        <v>803</v>
      </c>
      <c r="F763" t="s">
        <v>46</v>
      </c>
      <c r="G763" t="s">
        <v>85</v>
      </c>
      <c r="H763" t="s">
        <v>86</v>
      </c>
      <c r="I763" t="s">
        <v>49</v>
      </c>
      <c r="J763" t="s">
        <v>64</v>
      </c>
      <c r="K763" t="s">
        <v>188</v>
      </c>
      <c r="L763" t="s">
        <v>1366</v>
      </c>
      <c r="M763" s="1">
        <v>10453.81</v>
      </c>
      <c r="N763">
        <v>9</v>
      </c>
      <c r="O763" s="2">
        <v>0.15</v>
      </c>
      <c r="P763" s="1">
        <v>1237.27</v>
      </c>
      <c r="Q763" t="s">
        <v>27</v>
      </c>
      <c r="R763" t="s">
        <v>120</v>
      </c>
    </row>
    <row r="764" spans="1:18" x14ac:dyDescent="0.3">
      <c r="A764">
        <v>1763</v>
      </c>
      <c r="B764" s="3">
        <v>45332</v>
      </c>
      <c r="C764" s="3">
        <v>45336</v>
      </c>
      <c r="D764" t="s">
        <v>918</v>
      </c>
      <c r="E764" t="s">
        <v>486</v>
      </c>
      <c r="F764" t="s">
        <v>20</v>
      </c>
      <c r="G764" t="s">
        <v>70</v>
      </c>
      <c r="H764" t="s">
        <v>71</v>
      </c>
      <c r="I764" t="s">
        <v>58</v>
      </c>
      <c r="J764" t="s">
        <v>64</v>
      </c>
      <c r="K764" t="s">
        <v>188</v>
      </c>
      <c r="L764" t="s">
        <v>1367</v>
      </c>
      <c r="M764" s="1">
        <v>37534.639999999999</v>
      </c>
      <c r="N764">
        <v>1</v>
      </c>
      <c r="O764" s="2">
        <v>0.3</v>
      </c>
      <c r="P764" s="1">
        <v>3496.71</v>
      </c>
      <c r="Q764" t="s">
        <v>52</v>
      </c>
      <c r="R764" t="s">
        <v>53</v>
      </c>
    </row>
    <row r="765" spans="1:18" x14ac:dyDescent="0.3">
      <c r="A765">
        <v>1764</v>
      </c>
      <c r="B765" s="3">
        <v>45483</v>
      </c>
      <c r="C765" s="3">
        <v>45485</v>
      </c>
      <c r="D765" t="s">
        <v>628</v>
      </c>
      <c r="E765" t="s">
        <v>273</v>
      </c>
      <c r="F765" t="s">
        <v>46</v>
      </c>
      <c r="G765" t="s">
        <v>90</v>
      </c>
      <c r="H765" t="s">
        <v>91</v>
      </c>
      <c r="I765" t="s">
        <v>23</v>
      </c>
      <c r="J765" t="s">
        <v>24</v>
      </c>
      <c r="K765" t="s">
        <v>72</v>
      </c>
      <c r="L765" t="s">
        <v>1368</v>
      </c>
      <c r="M765" s="1">
        <v>86410.28</v>
      </c>
      <c r="N765">
        <v>5</v>
      </c>
      <c r="O765" s="2">
        <v>0.3</v>
      </c>
      <c r="P765" s="1">
        <v>5552.2</v>
      </c>
      <c r="Q765" t="s">
        <v>82</v>
      </c>
      <c r="R765" t="s">
        <v>53</v>
      </c>
    </row>
    <row r="766" spans="1:18" x14ac:dyDescent="0.3">
      <c r="A766">
        <v>1765</v>
      </c>
      <c r="B766" s="3">
        <v>45544</v>
      </c>
      <c r="C766" s="3">
        <v>45545</v>
      </c>
      <c r="D766" t="s">
        <v>1333</v>
      </c>
      <c r="E766" t="s">
        <v>171</v>
      </c>
      <c r="F766" t="s">
        <v>20</v>
      </c>
      <c r="G766" t="s">
        <v>32</v>
      </c>
      <c r="H766" t="s">
        <v>33</v>
      </c>
      <c r="I766" t="s">
        <v>34</v>
      </c>
      <c r="J766" t="s">
        <v>64</v>
      </c>
      <c r="K766" t="s">
        <v>65</v>
      </c>
      <c r="L766" t="s">
        <v>1369</v>
      </c>
      <c r="M766" s="1">
        <v>47683.13</v>
      </c>
      <c r="N766">
        <v>8</v>
      </c>
      <c r="O766" s="2">
        <v>0.1</v>
      </c>
      <c r="P766" s="1">
        <v>8222.58</v>
      </c>
      <c r="Q766" t="s">
        <v>38</v>
      </c>
      <c r="R766" t="s">
        <v>39</v>
      </c>
    </row>
    <row r="767" spans="1:18" x14ac:dyDescent="0.3">
      <c r="A767">
        <v>1766</v>
      </c>
      <c r="B767" s="3">
        <v>45610</v>
      </c>
      <c r="C767" s="3">
        <v>45614</v>
      </c>
      <c r="D767" t="s">
        <v>305</v>
      </c>
      <c r="E767" t="s">
        <v>149</v>
      </c>
      <c r="F767" t="s">
        <v>20</v>
      </c>
      <c r="G767" t="s">
        <v>90</v>
      </c>
      <c r="H767" t="s">
        <v>91</v>
      </c>
      <c r="I767" t="s">
        <v>23</v>
      </c>
      <c r="J767" t="s">
        <v>35</v>
      </c>
      <c r="K767" t="s">
        <v>42</v>
      </c>
      <c r="L767" t="s">
        <v>670</v>
      </c>
      <c r="M767" s="1">
        <v>87657.07</v>
      </c>
      <c r="N767">
        <v>9</v>
      </c>
      <c r="O767" s="2">
        <v>0.05</v>
      </c>
      <c r="P767" s="1">
        <v>11816.99</v>
      </c>
      <c r="Q767" t="s">
        <v>27</v>
      </c>
      <c r="R767" t="s">
        <v>53</v>
      </c>
    </row>
    <row r="768" spans="1:18" x14ac:dyDescent="0.3">
      <c r="A768">
        <v>1767</v>
      </c>
      <c r="B768" s="3">
        <v>45554</v>
      </c>
      <c r="C768" s="3">
        <v>45557</v>
      </c>
      <c r="D768" t="s">
        <v>1091</v>
      </c>
      <c r="E768" t="s">
        <v>639</v>
      </c>
      <c r="F768" t="s">
        <v>46</v>
      </c>
      <c r="G768" t="s">
        <v>112</v>
      </c>
      <c r="H768" t="s">
        <v>113</v>
      </c>
      <c r="I768" t="s">
        <v>49</v>
      </c>
      <c r="J768" t="s">
        <v>24</v>
      </c>
      <c r="K768" t="s">
        <v>25</v>
      </c>
      <c r="L768" t="s">
        <v>1370</v>
      </c>
      <c r="M768" s="1">
        <v>21155.09</v>
      </c>
      <c r="N768">
        <v>1</v>
      </c>
      <c r="O768" s="2">
        <v>0.3</v>
      </c>
      <c r="P768" s="1">
        <v>3660.66</v>
      </c>
      <c r="Q768" t="s">
        <v>67</v>
      </c>
      <c r="R768" t="s">
        <v>120</v>
      </c>
    </row>
    <row r="769" spans="1:18" x14ac:dyDescent="0.3">
      <c r="A769">
        <v>1768</v>
      </c>
      <c r="B769" s="3">
        <v>45807</v>
      </c>
      <c r="C769" s="3">
        <v>45811</v>
      </c>
      <c r="D769" t="s">
        <v>449</v>
      </c>
      <c r="E769" t="s">
        <v>187</v>
      </c>
      <c r="F769" t="s">
        <v>46</v>
      </c>
      <c r="G769" t="s">
        <v>107</v>
      </c>
      <c r="H769" t="s">
        <v>108</v>
      </c>
      <c r="I769" t="s">
        <v>34</v>
      </c>
      <c r="J769" t="s">
        <v>64</v>
      </c>
      <c r="K769" t="s">
        <v>80</v>
      </c>
      <c r="L769" t="s">
        <v>1371</v>
      </c>
      <c r="M769" s="1">
        <v>15884.23</v>
      </c>
      <c r="N769">
        <v>5</v>
      </c>
      <c r="O769" s="2">
        <v>0.15</v>
      </c>
      <c r="P769" s="1">
        <v>1340.89</v>
      </c>
      <c r="Q769" t="s">
        <v>52</v>
      </c>
      <c r="R769" t="s">
        <v>39</v>
      </c>
    </row>
    <row r="770" spans="1:18" x14ac:dyDescent="0.3">
      <c r="A770">
        <v>1769</v>
      </c>
      <c r="B770" s="3">
        <v>45610</v>
      </c>
      <c r="C770" s="3">
        <v>45614</v>
      </c>
      <c r="D770" t="s">
        <v>1372</v>
      </c>
      <c r="E770" t="s">
        <v>111</v>
      </c>
      <c r="F770" t="s">
        <v>46</v>
      </c>
      <c r="G770" t="s">
        <v>118</v>
      </c>
      <c r="H770" t="s">
        <v>118</v>
      </c>
      <c r="I770" t="s">
        <v>34</v>
      </c>
      <c r="J770" t="s">
        <v>35</v>
      </c>
      <c r="K770" t="s">
        <v>42</v>
      </c>
      <c r="L770" t="s">
        <v>1373</v>
      </c>
      <c r="M770" s="1">
        <v>46717.99</v>
      </c>
      <c r="N770">
        <v>7</v>
      </c>
      <c r="O770" s="2">
        <v>0.3</v>
      </c>
      <c r="P770" s="1">
        <v>911.52</v>
      </c>
      <c r="Q770" t="s">
        <v>82</v>
      </c>
      <c r="R770" t="s">
        <v>39</v>
      </c>
    </row>
    <row r="771" spans="1:18" x14ac:dyDescent="0.3">
      <c r="A771">
        <v>1770</v>
      </c>
      <c r="B771" s="3">
        <v>45747</v>
      </c>
      <c r="C771" s="3">
        <v>45748</v>
      </c>
      <c r="D771" t="s">
        <v>453</v>
      </c>
      <c r="E771" t="s">
        <v>454</v>
      </c>
      <c r="F771" t="s">
        <v>20</v>
      </c>
      <c r="G771" t="s">
        <v>112</v>
      </c>
      <c r="H771" t="s">
        <v>113</v>
      </c>
      <c r="I771" t="s">
        <v>49</v>
      </c>
      <c r="J771" t="s">
        <v>35</v>
      </c>
      <c r="K771" t="s">
        <v>129</v>
      </c>
      <c r="L771" t="s">
        <v>1374</v>
      </c>
      <c r="M771" s="1">
        <v>40158.33</v>
      </c>
      <c r="N771">
        <v>2</v>
      </c>
      <c r="O771" s="2">
        <v>0.25</v>
      </c>
      <c r="P771" s="1">
        <v>1394.69</v>
      </c>
      <c r="Q771" t="s">
        <v>61</v>
      </c>
      <c r="R771" t="s">
        <v>39</v>
      </c>
    </row>
    <row r="772" spans="1:18" x14ac:dyDescent="0.3">
      <c r="A772">
        <v>1771</v>
      </c>
      <c r="B772" s="3">
        <v>45386</v>
      </c>
      <c r="C772" s="3">
        <v>45387</v>
      </c>
      <c r="D772" t="s">
        <v>62</v>
      </c>
      <c r="E772" t="s">
        <v>441</v>
      </c>
      <c r="F772" t="s">
        <v>20</v>
      </c>
      <c r="G772" t="s">
        <v>85</v>
      </c>
      <c r="H772" t="s">
        <v>86</v>
      </c>
      <c r="I772" t="s">
        <v>49</v>
      </c>
      <c r="J772" t="s">
        <v>64</v>
      </c>
      <c r="K772" t="s">
        <v>65</v>
      </c>
      <c r="L772" t="s">
        <v>1375</v>
      </c>
      <c r="M772" s="1">
        <v>73842.12</v>
      </c>
      <c r="N772">
        <v>1</v>
      </c>
      <c r="O772" s="2">
        <v>0</v>
      </c>
      <c r="P772" s="1">
        <v>15555.9</v>
      </c>
      <c r="Q772" t="s">
        <v>82</v>
      </c>
      <c r="R772" t="s">
        <v>53</v>
      </c>
    </row>
    <row r="773" spans="1:18" x14ac:dyDescent="0.3">
      <c r="A773">
        <v>1772</v>
      </c>
      <c r="B773" s="3">
        <v>45575</v>
      </c>
      <c r="C773" s="3">
        <v>45580</v>
      </c>
      <c r="D773" t="s">
        <v>167</v>
      </c>
      <c r="E773" t="s">
        <v>669</v>
      </c>
      <c r="F773" t="s">
        <v>20</v>
      </c>
      <c r="G773" t="s">
        <v>47</v>
      </c>
      <c r="H773" t="s">
        <v>48</v>
      </c>
      <c r="I773" t="s">
        <v>49</v>
      </c>
      <c r="J773" t="s">
        <v>64</v>
      </c>
      <c r="K773" t="s">
        <v>188</v>
      </c>
      <c r="L773" t="s">
        <v>1376</v>
      </c>
      <c r="M773" s="1">
        <v>49777.86</v>
      </c>
      <c r="N773">
        <v>4</v>
      </c>
      <c r="O773" s="2">
        <v>0.05</v>
      </c>
      <c r="P773" s="1">
        <v>5299.38</v>
      </c>
      <c r="Q773" t="s">
        <v>38</v>
      </c>
      <c r="R773" t="s">
        <v>120</v>
      </c>
    </row>
    <row r="774" spans="1:18" x14ac:dyDescent="0.3">
      <c r="A774">
        <v>1773</v>
      </c>
      <c r="B774" s="3">
        <v>45573</v>
      </c>
      <c r="C774" s="3">
        <v>45579</v>
      </c>
      <c r="D774" t="s">
        <v>854</v>
      </c>
      <c r="E774" t="s">
        <v>1015</v>
      </c>
      <c r="F774" t="s">
        <v>46</v>
      </c>
      <c r="G774" t="s">
        <v>107</v>
      </c>
      <c r="H774" t="s">
        <v>108</v>
      </c>
      <c r="I774" t="s">
        <v>34</v>
      </c>
      <c r="J774" t="s">
        <v>24</v>
      </c>
      <c r="K774" t="s">
        <v>72</v>
      </c>
      <c r="L774" t="s">
        <v>1377</v>
      </c>
      <c r="M774" s="1">
        <v>54007.87</v>
      </c>
      <c r="N774">
        <v>8</v>
      </c>
      <c r="O774" s="2">
        <v>0.2</v>
      </c>
      <c r="P774" s="1">
        <v>2332.2399999999998</v>
      </c>
      <c r="Q774" t="s">
        <v>82</v>
      </c>
      <c r="R774" t="s">
        <v>28</v>
      </c>
    </row>
    <row r="775" spans="1:18" x14ac:dyDescent="0.3">
      <c r="A775">
        <v>1774</v>
      </c>
      <c r="B775" s="3">
        <v>45782</v>
      </c>
      <c r="C775" s="3">
        <v>45786</v>
      </c>
      <c r="D775" t="s">
        <v>289</v>
      </c>
      <c r="E775" t="s">
        <v>260</v>
      </c>
      <c r="F775" t="s">
        <v>20</v>
      </c>
      <c r="G775" t="s">
        <v>102</v>
      </c>
      <c r="H775" t="s">
        <v>103</v>
      </c>
      <c r="I775" t="s">
        <v>58</v>
      </c>
      <c r="J775" t="s">
        <v>35</v>
      </c>
      <c r="K775" t="s">
        <v>129</v>
      </c>
      <c r="L775" t="s">
        <v>1378</v>
      </c>
      <c r="M775" s="1">
        <v>15639.09</v>
      </c>
      <c r="N775">
        <v>6</v>
      </c>
      <c r="O775" s="2">
        <v>0</v>
      </c>
      <c r="P775" s="1">
        <v>4366.97</v>
      </c>
      <c r="Q775" t="s">
        <v>67</v>
      </c>
      <c r="R775" t="s">
        <v>39</v>
      </c>
    </row>
    <row r="776" spans="1:18" x14ac:dyDescent="0.3">
      <c r="A776">
        <v>1775</v>
      </c>
      <c r="B776" s="3">
        <v>45727</v>
      </c>
      <c r="C776" s="3">
        <v>45730</v>
      </c>
      <c r="D776" t="s">
        <v>449</v>
      </c>
      <c r="E776" t="s">
        <v>257</v>
      </c>
      <c r="F776" t="s">
        <v>20</v>
      </c>
      <c r="G776" t="s">
        <v>107</v>
      </c>
      <c r="H776" t="s">
        <v>108</v>
      </c>
      <c r="I776" t="s">
        <v>34</v>
      </c>
      <c r="J776" t="s">
        <v>35</v>
      </c>
      <c r="K776" t="s">
        <v>129</v>
      </c>
      <c r="L776" t="s">
        <v>1379</v>
      </c>
      <c r="M776" s="1">
        <v>86416.61</v>
      </c>
      <c r="N776">
        <v>1</v>
      </c>
      <c r="O776" s="2">
        <v>0.25</v>
      </c>
      <c r="P776" s="1">
        <v>-1475.04</v>
      </c>
      <c r="Q776" t="s">
        <v>27</v>
      </c>
      <c r="R776" t="s">
        <v>28</v>
      </c>
    </row>
    <row r="777" spans="1:18" x14ac:dyDescent="0.3">
      <c r="A777">
        <v>1776</v>
      </c>
      <c r="B777" s="3">
        <v>45493</v>
      </c>
      <c r="C777" s="3">
        <v>45498</v>
      </c>
      <c r="D777" t="s">
        <v>958</v>
      </c>
      <c r="E777" t="s">
        <v>128</v>
      </c>
      <c r="F777" t="s">
        <v>20</v>
      </c>
      <c r="G777" t="s">
        <v>90</v>
      </c>
      <c r="H777" t="s">
        <v>91</v>
      </c>
      <c r="I777" t="s">
        <v>23</v>
      </c>
      <c r="J777" t="s">
        <v>24</v>
      </c>
      <c r="K777" t="s">
        <v>25</v>
      </c>
      <c r="L777" t="s">
        <v>1380</v>
      </c>
      <c r="M777" s="1">
        <v>2647.06</v>
      </c>
      <c r="N777">
        <v>3</v>
      </c>
      <c r="O777" s="2">
        <v>0.1</v>
      </c>
      <c r="P777" s="1">
        <v>523.63</v>
      </c>
      <c r="Q777" t="s">
        <v>74</v>
      </c>
      <c r="R777" t="s">
        <v>120</v>
      </c>
    </row>
    <row r="778" spans="1:18" x14ac:dyDescent="0.3">
      <c r="A778">
        <v>1777</v>
      </c>
      <c r="B778" s="3">
        <v>45639</v>
      </c>
      <c r="C778" s="3">
        <v>45644</v>
      </c>
      <c r="D778" t="s">
        <v>500</v>
      </c>
      <c r="E778" t="s">
        <v>473</v>
      </c>
      <c r="F778" t="s">
        <v>46</v>
      </c>
      <c r="G778" t="s">
        <v>70</v>
      </c>
      <c r="H778" t="s">
        <v>71</v>
      </c>
      <c r="I778" t="s">
        <v>58</v>
      </c>
      <c r="J778" t="s">
        <v>64</v>
      </c>
      <c r="K778" t="s">
        <v>65</v>
      </c>
      <c r="L778" t="s">
        <v>1381</v>
      </c>
      <c r="M778" s="1">
        <v>30651.58</v>
      </c>
      <c r="N778">
        <v>10</v>
      </c>
      <c r="O778" s="2">
        <v>0.1</v>
      </c>
      <c r="P778" s="1">
        <v>7789.8</v>
      </c>
      <c r="Q778" t="s">
        <v>52</v>
      </c>
      <c r="R778" t="s">
        <v>120</v>
      </c>
    </row>
    <row r="779" spans="1:18" x14ac:dyDescent="0.3">
      <c r="A779">
        <v>1778</v>
      </c>
      <c r="B779" s="3">
        <v>45548</v>
      </c>
      <c r="C779" s="3">
        <v>45554</v>
      </c>
      <c r="D779" t="s">
        <v>918</v>
      </c>
      <c r="E779" t="s">
        <v>343</v>
      </c>
      <c r="F779" t="s">
        <v>46</v>
      </c>
      <c r="G779" t="s">
        <v>112</v>
      </c>
      <c r="H779" t="s">
        <v>113</v>
      </c>
      <c r="I779" t="s">
        <v>49</v>
      </c>
      <c r="J779" t="s">
        <v>64</v>
      </c>
      <c r="K779" t="s">
        <v>80</v>
      </c>
      <c r="L779" t="s">
        <v>1382</v>
      </c>
      <c r="M779" s="1">
        <v>80943.960000000006</v>
      </c>
      <c r="N779">
        <v>6</v>
      </c>
      <c r="O779" s="2">
        <v>0.3</v>
      </c>
      <c r="P779" s="1">
        <v>9385.0400000000009</v>
      </c>
      <c r="Q779" t="s">
        <v>61</v>
      </c>
      <c r="R779" t="s">
        <v>53</v>
      </c>
    </row>
    <row r="780" spans="1:18" x14ac:dyDescent="0.3">
      <c r="A780">
        <v>1779</v>
      </c>
      <c r="B780" s="3">
        <v>45601</v>
      </c>
      <c r="C780" s="3">
        <v>45606</v>
      </c>
      <c r="D780" t="s">
        <v>1372</v>
      </c>
      <c r="E780" t="s">
        <v>323</v>
      </c>
      <c r="F780" t="s">
        <v>20</v>
      </c>
      <c r="G780" t="s">
        <v>70</v>
      </c>
      <c r="H780" t="s">
        <v>71</v>
      </c>
      <c r="I780" t="s">
        <v>58</v>
      </c>
      <c r="J780" t="s">
        <v>35</v>
      </c>
      <c r="K780" t="s">
        <v>36</v>
      </c>
      <c r="L780" t="s">
        <v>1383</v>
      </c>
      <c r="M780" s="1">
        <v>49245.04</v>
      </c>
      <c r="N780">
        <v>5</v>
      </c>
      <c r="O780" s="2">
        <v>0.3</v>
      </c>
      <c r="P780" s="1">
        <v>7949.09</v>
      </c>
      <c r="Q780" t="s">
        <v>67</v>
      </c>
      <c r="R780" t="s">
        <v>53</v>
      </c>
    </row>
    <row r="781" spans="1:18" x14ac:dyDescent="0.3">
      <c r="A781">
        <v>1780</v>
      </c>
      <c r="B781" s="3">
        <v>45724</v>
      </c>
      <c r="C781" s="3">
        <v>45728</v>
      </c>
      <c r="D781" t="s">
        <v>364</v>
      </c>
      <c r="E781" t="s">
        <v>303</v>
      </c>
      <c r="F781" t="s">
        <v>31</v>
      </c>
      <c r="G781" t="s">
        <v>90</v>
      </c>
      <c r="H781" t="s">
        <v>91</v>
      </c>
      <c r="I781" t="s">
        <v>23</v>
      </c>
      <c r="J781" t="s">
        <v>24</v>
      </c>
      <c r="K781" t="s">
        <v>50</v>
      </c>
      <c r="L781" t="s">
        <v>1384</v>
      </c>
      <c r="M781" s="1">
        <v>41094.69</v>
      </c>
      <c r="N781">
        <v>6</v>
      </c>
      <c r="O781" s="2">
        <v>0.1</v>
      </c>
      <c r="P781" s="1">
        <v>8058.31</v>
      </c>
      <c r="Q781" t="s">
        <v>74</v>
      </c>
      <c r="R781" t="s">
        <v>39</v>
      </c>
    </row>
    <row r="782" spans="1:18" x14ac:dyDescent="0.3">
      <c r="A782">
        <v>1781</v>
      </c>
      <c r="B782" s="3">
        <v>45699</v>
      </c>
      <c r="C782" s="3">
        <v>45705</v>
      </c>
      <c r="D782" t="s">
        <v>148</v>
      </c>
      <c r="E782" t="s">
        <v>513</v>
      </c>
      <c r="F782" t="s">
        <v>20</v>
      </c>
      <c r="G782" t="s">
        <v>70</v>
      </c>
      <c r="H782" t="s">
        <v>71</v>
      </c>
      <c r="I782" t="s">
        <v>58</v>
      </c>
      <c r="J782" t="s">
        <v>35</v>
      </c>
      <c r="K782" t="s">
        <v>129</v>
      </c>
      <c r="L782" t="s">
        <v>1385</v>
      </c>
      <c r="M782" s="1">
        <v>67778.09</v>
      </c>
      <c r="N782">
        <v>5</v>
      </c>
      <c r="O782" s="2">
        <v>0.3</v>
      </c>
      <c r="P782" s="1">
        <v>1531.71</v>
      </c>
      <c r="Q782" t="s">
        <v>115</v>
      </c>
      <c r="R782" t="s">
        <v>53</v>
      </c>
    </row>
    <row r="783" spans="1:18" x14ac:dyDescent="0.3">
      <c r="A783">
        <v>1782</v>
      </c>
      <c r="B783" s="3">
        <v>45659</v>
      </c>
      <c r="C783" s="3">
        <v>45662</v>
      </c>
      <c r="D783" t="s">
        <v>1007</v>
      </c>
      <c r="E783" t="s">
        <v>1180</v>
      </c>
      <c r="F783" t="s">
        <v>31</v>
      </c>
      <c r="G783" t="s">
        <v>32</v>
      </c>
      <c r="H783" t="s">
        <v>33</v>
      </c>
      <c r="I783" t="s">
        <v>34</v>
      </c>
      <c r="J783" t="s">
        <v>24</v>
      </c>
      <c r="K783" t="s">
        <v>72</v>
      </c>
      <c r="L783" t="s">
        <v>1386</v>
      </c>
      <c r="M783" s="1">
        <v>6308.45</v>
      </c>
      <c r="N783">
        <v>7</v>
      </c>
      <c r="O783" s="2">
        <v>0.05</v>
      </c>
      <c r="P783" s="1">
        <v>1155.43</v>
      </c>
      <c r="Q783" t="s">
        <v>67</v>
      </c>
      <c r="R783" t="s">
        <v>120</v>
      </c>
    </row>
    <row r="784" spans="1:18" x14ac:dyDescent="0.3">
      <c r="A784">
        <v>1783</v>
      </c>
      <c r="B784" s="3">
        <v>45737</v>
      </c>
      <c r="C784" s="3">
        <v>45742</v>
      </c>
      <c r="D784" t="s">
        <v>1387</v>
      </c>
      <c r="E784" t="s">
        <v>1388</v>
      </c>
      <c r="F784" t="s">
        <v>20</v>
      </c>
      <c r="G784" t="s">
        <v>112</v>
      </c>
      <c r="H784" t="s">
        <v>113</v>
      </c>
      <c r="I784" t="s">
        <v>49</v>
      </c>
      <c r="J784" t="s">
        <v>35</v>
      </c>
      <c r="K784" t="s">
        <v>59</v>
      </c>
      <c r="L784" t="s">
        <v>1389</v>
      </c>
      <c r="M784" s="1">
        <v>34281.800000000003</v>
      </c>
      <c r="N784">
        <v>4</v>
      </c>
      <c r="O784" s="2">
        <v>0.15</v>
      </c>
      <c r="P784" s="1">
        <v>8143.7</v>
      </c>
      <c r="Q784" t="s">
        <v>115</v>
      </c>
      <c r="R784" t="s">
        <v>39</v>
      </c>
    </row>
    <row r="785" spans="1:18" x14ac:dyDescent="0.3">
      <c r="A785">
        <v>1784</v>
      </c>
      <c r="B785" s="3">
        <v>45953</v>
      </c>
      <c r="C785" s="3">
        <v>45958</v>
      </c>
      <c r="D785" t="s">
        <v>1390</v>
      </c>
      <c r="E785" t="s">
        <v>309</v>
      </c>
      <c r="F785" t="s">
        <v>31</v>
      </c>
      <c r="G785" t="s">
        <v>70</v>
      </c>
      <c r="H785" t="s">
        <v>71</v>
      </c>
      <c r="I785" t="s">
        <v>58</v>
      </c>
      <c r="J785" t="s">
        <v>35</v>
      </c>
      <c r="K785" t="s">
        <v>59</v>
      </c>
      <c r="L785" t="s">
        <v>1391</v>
      </c>
      <c r="M785" s="1">
        <v>25658.01</v>
      </c>
      <c r="N785">
        <v>9</v>
      </c>
      <c r="O785" s="2">
        <v>0.2</v>
      </c>
      <c r="P785" s="1">
        <v>2720.88</v>
      </c>
      <c r="Q785" t="s">
        <v>74</v>
      </c>
      <c r="R785" t="s">
        <v>53</v>
      </c>
    </row>
    <row r="786" spans="1:18" x14ac:dyDescent="0.3">
      <c r="A786">
        <v>1785</v>
      </c>
      <c r="B786" s="3">
        <v>45642</v>
      </c>
      <c r="C786" s="3">
        <v>45647</v>
      </c>
      <c r="D786" t="s">
        <v>1392</v>
      </c>
      <c r="E786" t="s">
        <v>824</v>
      </c>
      <c r="F786" t="s">
        <v>20</v>
      </c>
      <c r="G786" t="s">
        <v>90</v>
      </c>
      <c r="H786" t="s">
        <v>91</v>
      </c>
      <c r="I786" t="s">
        <v>23</v>
      </c>
      <c r="J786" t="s">
        <v>35</v>
      </c>
      <c r="K786" t="s">
        <v>36</v>
      </c>
      <c r="L786" t="s">
        <v>1393</v>
      </c>
      <c r="M786" s="1">
        <v>58812.12</v>
      </c>
      <c r="N786">
        <v>8</v>
      </c>
      <c r="O786" s="2">
        <v>0.25</v>
      </c>
      <c r="P786" s="1">
        <v>2639.61</v>
      </c>
      <c r="Q786" t="s">
        <v>61</v>
      </c>
      <c r="R786" t="s">
        <v>120</v>
      </c>
    </row>
    <row r="787" spans="1:18" x14ac:dyDescent="0.3">
      <c r="A787">
        <v>1786</v>
      </c>
      <c r="B787" s="3">
        <v>45705</v>
      </c>
      <c r="C787" s="3">
        <v>45707</v>
      </c>
      <c r="D787" t="s">
        <v>1394</v>
      </c>
      <c r="E787" t="s">
        <v>299</v>
      </c>
      <c r="F787" t="s">
        <v>20</v>
      </c>
      <c r="G787" t="s">
        <v>47</v>
      </c>
      <c r="H787" t="s">
        <v>48</v>
      </c>
      <c r="I787" t="s">
        <v>49</v>
      </c>
      <c r="J787" t="s">
        <v>24</v>
      </c>
      <c r="K787" t="s">
        <v>50</v>
      </c>
      <c r="L787" t="s">
        <v>1395</v>
      </c>
      <c r="M787" s="1">
        <v>81891.039999999994</v>
      </c>
      <c r="N787">
        <v>1</v>
      </c>
      <c r="O787" s="2">
        <v>0.15</v>
      </c>
      <c r="P787" s="1">
        <v>7385.67</v>
      </c>
      <c r="Q787" t="s">
        <v>74</v>
      </c>
      <c r="R787" t="s">
        <v>28</v>
      </c>
    </row>
    <row r="788" spans="1:18" x14ac:dyDescent="0.3">
      <c r="A788">
        <v>1787</v>
      </c>
      <c r="B788" s="3">
        <v>45805</v>
      </c>
      <c r="C788" s="3">
        <v>45810</v>
      </c>
      <c r="D788" t="s">
        <v>254</v>
      </c>
      <c r="E788" t="s">
        <v>833</v>
      </c>
      <c r="F788" t="s">
        <v>46</v>
      </c>
      <c r="G788" t="s">
        <v>95</v>
      </c>
      <c r="H788" t="s">
        <v>22</v>
      </c>
      <c r="I788" t="s">
        <v>23</v>
      </c>
      <c r="J788" t="s">
        <v>35</v>
      </c>
      <c r="K788" t="s">
        <v>129</v>
      </c>
      <c r="L788" t="s">
        <v>1396</v>
      </c>
      <c r="M788" s="1">
        <v>54301.41</v>
      </c>
      <c r="N788">
        <v>7</v>
      </c>
      <c r="O788" s="2">
        <v>0.25</v>
      </c>
      <c r="P788" s="1">
        <v>8958.77</v>
      </c>
      <c r="Q788" t="s">
        <v>61</v>
      </c>
      <c r="R788" t="s">
        <v>39</v>
      </c>
    </row>
    <row r="789" spans="1:18" x14ac:dyDescent="0.3">
      <c r="A789">
        <v>1788</v>
      </c>
      <c r="B789" s="3">
        <v>45340</v>
      </c>
      <c r="C789" s="3">
        <v>45341</v>
      </c>
      <c r="D789" t="s">
        <v>704</v>
      </c>
      <c r="E789" t="s">
        <v>833</v>
      </c>
      <c r="F789" t="s">
        <v>31</v>
      </c>
      <c r="G789" t="s">
        <v>118</v>
      </c>
      <c r="H789" t="s">
        <v>118</v>
      </c>
      <c r="I789" t="s">
        <v>34</v>
      </c>
      <c r="J789" t="s">
        <v>64</v>
      </c>
      <c r="K789" t="s">
        <v>65</v>
      </c>
      <c r="L789" t="s">
        <v>1397</v>
      </c>
      <c r="M789" s="1">
        <v>70608.399999999994</v>
      </c>
      <c r="N789">
        <v>3</v>
      </c>
      <c r="O789" s="2">
        <v>0.25</v>
      </c>
      <c r="P789" s="1">
        <v>8694.92</v>
      </c>
      <c r="Q789" t="s">
        <v>52</v>
      </c>
      <c r="R789" t="s">
        <v>120</v>
      </c>
    </row>
    <row r="790" spans="1:18" x14ac:dyDescent="0.3">
      <c r="A790">
        <v>1789</v>
      </c>
      <c r="B790" s="3">
        <v>45902</v>
      </c>
      <c r="C790" s="3">
        <v>45908</v>
      </c>
      <c r="D790" t="s">
        <v>208</v>
      </c>
      <c r="E790" t="s">
        <v>79</v>
      </c>
      <c r="F790" t="s">
        <v>31</v>
      </c>
      <c r="G790" t="s">
        <v>107</v>
      </c>
      <c r="H790" t="s">
        <v>108</v>
      </c>
      <c r="I790" t="s">
        <v>34</v>
      </c>
      <c r="J790" t="s">
        <v>64</v>
      </c>
      <c r="K790" t="s">
        <v>65</v>
      </c>
      <c r="L790" t="s">
        <v>1398</v>
      </c>
      <c r="M790" s="1">
        <v>81522.77</v>
      </c>
      <c r="N790">
        <v>4</v>
      </c>
      <c r="O790" s="2">
        <v>0.1</v>
      </c>
      <c r="P790" s="1">
        <v>5518.64</v>
      </c>
      <c r="Q790" t="s">
        <v>61</v>
      </c>
      <c r="R790" t="s">
        <v>53</v>
      </c>
    </row>
    <row r="791" spans="1:18" x14ac:dyDescent="0.3">
      <c r="A791">
        <v>1790</v>
      </c>
      <c r="B791" s="3">
        <v>45887</v>
      </c>
      <c r="C791" s="3">
        <v>45893</v>
      </c>
      <c r="D791" t="s">
        <v>983</v>
      </c>
      <c r="E791" t="s">
        <v>122</v>
      </c>
      <c r="F791" t="s">
        <v>20</v>
      </c>
      <c r="G791" t="s">
        <v>70</v>
      </c>
      <c r="H791" t="s">
        <v>71</v>
      </c>
      <c r="I791" t="s">
        <v>58</v>
      </c>
      <c r="J791" t="s">
        <v>35</v>
      </c>
      <c r="K791" t="s">
        <v>129</v>
      </c>
      <c r="L791" t="s">
        <v>1399</v>
      </c>
      <c r="M791" s="1">
        <v>80311.94</v>
      </c>
      <c r="N791">
        <v>6</v>
      </c>
      <c r="O791" s="2">
        <v>0.3</v>
      </c>
      <c r="P791" s="1">
        <v>867.53</v>
      </c>
      <c r="Q791" t="s">
        <v>61</v>
      </c>
      <c r="R791" t="s">
        <v>53</v>
      </c>
    </row>
    <row r="792" spans="1:18" x14ac:dyDescent="0.3">
      <c r="A792">
        <v>1791</v>
      </c>
      <c r="B792" s="3">
        <v>45475</v>
      </c>
      <c r="C792" s="3">
        <v>45477</v>
      </c>
      <c r="D792" t="s">
        <v>696</v>
      </c>
      <c r="E792" t="s">
        <v>404</v>
      </c>
      <c r="F792" t="s">
        <v>46</v>
      </c>
      <c r="G792" t="s">
        <v>90</v>
      </c>
      <c r="H792" t="s">
        <v>91</v>
      </c>
      <c r="I792" t="s">
        <v>23</v>
      </c>
      <c r="J792" t="s">
        <v>35</v>
      </c>
      <c r="K792" t="s">
        <v>129</v>
      </c>
      <c r="L792" t="s">
        <v>1400</v>
      </c>
      <c r="M792" s="1">
        <v>11638.35</v>
      </c>
      <c r="N792">
        <v>9</v>
      </c>
      <c r="O792" s="2">
        <v>0</v>
      </c>
      <c r="P792" s="1">
        <v>2960.37</v>
      </c>
      <c r="Q792" t="s">
        <v>38</v>
      </c>
      <c r="R792" t="s">
        <v>28</v>
      </c>
    </row>
    <row r="793" spans="1:18" x14ac:dyDescent="0.3">
      <c r="A793">
        <v>1792</v>
      </c>
      <c r="B793" s="3">
        <v>45379</v>
      </c>
      <c r="C793" s="3">
        <v>45385</v>
      </c>
      <c r="D793" t="s">
        <v>503</v>
      </c>
      <c r="E793" t="s">
        <v>1401</v>
      </c>
      <c r="F793" t="s">
        <v>20</v>
      </c>
      <c r="G793" t="s">
        <v>90</v>
      </c>
      <c r="H793" t="s">
        <v>91</v>
      </c>
      <c r="I793" t="s">
        <v>23</v>
      </c>
      <c r="J793" t="s">
        <v>35</v>
      </c>
      <c r="K793" t="s">
        <v>36</v>
      </c>
      <c r="L793" t="s">
        <v>1402</v>
      </c>
      <c r="M793" s="1">
        <v>62693.27</v>
      </c>
      <c r="N793">
        <v>8</v>
      </c>
      <c r="O793" s="2">
        <v>0.15</v>
      </c>
      <c r="P793" s="1">
        <v>12897.08</v>
      </c>
      <c r="Q793" t="s">
        <v>61</v>
      </c>
      <c r="R793" t="s">
        <v>39</v>
      </c>
    </row>
    <row r="794" spans="1:18" x14ac:dyDescent="0.3">
      <c r="A794">
        <v>1793</v>
      </c>
      <c r="B794" s="3">
        <v>45359</v>
      </c>
      <c r="C794" s="3">
        <v>45363</v>
      </c>
      <c r="D794" t="s">
        <v>170</v>
      </c>
      <c r="E794" t="s">
        <v>1253</v>
      </c>
      <c r="F794" t="s">
        <v>31</v>
      </c>
      <c r="G794" t="s">
        <v>95</v>
      </c>
      <c r="H794" t="s">
        <v>22</v>
      </c>
      <c r="I794" t="s">
        <v>23</v>
      </c>
      <c r="J794" t="s">
        <v>35</v>
      </c>
      <c r="K794" t="s">
        <v>42</v>
      </c>
      <c r="L794" t="s">
        <v>1403</v>
      </c>
      <c r="M794" s="1">
        <v>9437.02</v>
      </c>
      <c r="N794">
        <v>5</v>
      </c>
      <c r="O794" s="2">
        <v>0.2</v>
      </c>
      <c r="P794" s="1">
        <v>1536.47</v>
      </c>
      <c r="Q794" t="s">
        <v>27</v>
      </c>
      <c r="R794" t="s">
        <v>53</v>
      </c>
    </row>
    <row r="795" spans="1:18" x14ac:dyDescent="0.3">
      <c r="A795">
        <v>1794</v>
      </c>
      <c r="B795" s="3">
        <v>45462</v>
      </c>
      <c r="C795" s="3">
        <v>45468</v>
      </c>
      <c r="D795" t="s">
        <v>190</v>
      </c>
      <c r="E795" t="s">
        <v>938</v>
      </c>
      <c r="F795" t="s">
        <v>20</v>
      </c>
      <c r="G795" t="s">
        <v>56</v>
      </c>
      <c r="H795" t="s">
        <v>57</v>
      </c>
      <c r="I795" t="s">
        <v>58</v>
      </c>
      <c r="J795" t="s">
        <v>35</v>
      </c>
      <c r="K795" t="s">
        <v>42</v>
      </c>
      <c r="L795" t="s">
        <v>1404</v>
      </c>
      <c r="M795" s="1">
        <v>67927.899999999994</v>
      </c>
      <c r="N795">
        <v>9</v>
      </c>
      <c r="O795" s="2">
        <v>0.15</v>
      </c>
      <c r="P795" s="1">
        <v>14444.94</v>
      </c>
      <c r="Q795" t="s">
        <v>67</v>
      </c>
      <c r="R795" t="s">
        <v>28</v>
      </c>
    </row>
    <row r="796" spans="1:18" x14ac:dyDescent="0.3">
      <c r="A796">
        <v>1795</v>
      </c>
      <c r="B796" s="3">
        <v>45872</v>
      </c>
      <c r="C796" s="3">
        <v>45878</v>
      </c>
      <c r="D796" t="s">
        <v>497</v>
      </c>
      <c r="E796" t="s">
        <v>293</v>
      </c>
      <c r="F796" t="s">
        <v>31</v>
      </c>
      <c r="G796" t="s">
        <v>95</v>
      </c>
      <c r="H796" t="s">
        <v>22</v>
      </c>
      <c r="I796" t="s">
        <v>23</v>
      </c>
      <c r="J796" t="s">
        <v>35</v>
      </c>
      <c r="K796" t="s">
        <v>59</v>
      </c>
      <c r="L796" t="s">
        <v>1405</v>
      </c>
      <c r="M796" s="1">
        <v>44591.1</v>
      </c>
      <c r="N796">
        <v>1</v>
      </c>
      <c r="O796" s="2">
        <v>0.1</v>
      </c>
      <c r="P796" s="1">
        <v>11452.21</v>
      </c>
      <c r="Q796" t="s">
        <v>67</v>
      </c>
      <c r="R796" t="s">
        <v>53</v>
      </c>
    </row>
    <row r="797" spans="1:18" x14ac:dyDescent="0.3">
      <c r="A797">
        <v>1796</v>
      </c>
      <c r="B797" s="3">
        <v>45681</v>
      </c>
      <c r="C797" s="3">
        <v>45684</v>
      </c>
      <c r="D797" t="s">
        <v>410</v>
      </c>
      <c r="E797" t="s">
        <v>281</v>
      </c>
      <c r="F797" t="s">
        <v>46</v>
      </c>
      <c r="G797" t="s">
        <v>107</v>
      </c>
      <c r="H797" t="s">
        <v>108</v>
      </c>
      <c r="I797" t="s">
        <v>34</v>
      </c>
      <c r="J797" t="s">
        <v>35</v>
      </c>
      <c r="K797" t="s">
        <v>42</v>
      </c>
      <c r="L797" t="s">
        <v>1406</v>
      </c>
      <c r="M797" s="1">
        <v>51804.63</v>
      </c>
      <c r="N797">
        <v>9</v>
      </c>
      <c r="O797" s="2">
        <v>0.05</v>
      </c>
      <c r="P797" s="1">
        <v>5101.3500000000004</v>
      </c>
      <c r="Q797" t="s">
        <v>74</v>
      </c>
      <c r="R797" t="s">
        <v>120</v>
      </c>
    </row>
    <row r="798" spans="1:18" x14ac:dyDescent="0.3">
      <c r="A798">
        <v>1797</v>
      </c>
      <c r="B798" s="3">
        <v>45370</v>
      </c>
      <c r="C798" s="3">
        <v>45376</v>
      </c>
      <c r="D798" t="s">
        <v>918</v>
      </c>
      <c r="E798" t="s">
        <v>553</v>
      </c>
      <c r="F798" t="s">
        <v>20</v>
      </c>
      <c r="G798" t="s">
        <v>118</v>
      </c>
      <c r="H798" t="s">
        <v>118</v>
      </c>
      <c r="I798" t="s">
        <v>34</v>
      </c>
      <c r="J798" t="s">
        <v>64</v>
      </c>
      <c r="K798" t="s">
        <v>65</v>
      </c>
      <c r="L798" t="s">
        <v>1407</v>
      </c>
      <c r="M798" s="1">
        <v>44344.29</v>
      </c>
      <c r="N798">
        <v>2</v>
      </c>
      <c r="O798" s="2">
        <v>0.3</v>
      </c>
      <c r="P798" s="1">
        <v>7241.2</v>
      </c>
      <c r="Q798" t="s">
        <v>27</v>
      </c>
      <c r="R798" t="s">
        <v>28</v>
      </c>
    </row>
    <row r="799" spans="1:18" x14ac:dyDescent="0.3">
      <c r="A799">
        <v>1798</v>
      </c>
      <c r="B799" s="3">
        <v>45784</v>
      </c>
      <c r="C799" s="3">
        <v>45790</v>
      </c>
      <c r="D799" t="s">
        <v>1408</v>
      </c>
      <c r="E799" t="s">
        <v>656</v>
      </c>
      <c r="F799" t="s">
        <v>20</v>
      </c>
      <c r="G799" t="s">
        <v>107</v>
      </c>
      <c r="H799" t="s">
        <v>108</v>
      </c>
      <c r="I799" t="s">
        <v>34</v>
      </c>
      <c r="J799" t="s">
        <v>35</v>
      </c>
      <c r="K799" t="s">
        <v>129</v>
      </c>
      <c r="L799" t="s">
        <v>1409</v>
      </c>
      <c r="M799" s="1">
        <v>8975.7900000000009</v>
      </c>
      <c r="N799">
        <v>2</v>
      </c>
      <c r="O799" s="2">
        <v>0.2</v>
      </c>
      <c r="P799" s="1">
        <v>259.58999999999997</v>
      </c>
      <c r="Q799" t="s">
        <v>82</v>
      </c>
      <c r="R799" t="s">
        <v>28</v>
      </c>
    </row>
    <row r="800" spans="1:18" x14ac:dyDescent="0.3">
      <c r="A800">
        <v>1799</v>
      </c>
      <c r="B800" s="3">
        <v>45545</v>
      </c>
      <c r="C800" s="3">
        <v>45546</v>
      </c>
      <c r="D800" t="s">
        <v>689</v>
      </c>
      <c r="E800" t="s">
        <v>1041</v>
      </c>
      <c r="F800" t="s">
        <v>31</v>
      </c>
      <c r="G800" t="s">
        <v>32</v>
      </c>
      <c r="H800" t="s">
        <v>33</v>
      </c>
      <c r="I800" t="s">
        <v>34</v>
      </c>
      <c r="J800" t="s">
        <v>64</v>
      </c>
      <c r="K800" t="s">
        <v>157</v>
      </c>
      <c r="L800" t="s">
        <v>1410</v>
      </c>
      <c r="M800" s="1">
        <v>22551.66</v>
      </c>
      <c r="N800">
        <v>8</v>
      </c>
      <c r="O800" s="2">
        <v>0.25</v>
      </c>
      <c r="P800" s="1">
        <v>796.96</v>
      </c>
      <c r="Q800" t="s">
        <v>61</v>
      </c>
      <c r="R800" t="s">
        <v>53</v>
      </c>
    </row>
    <row r="801" spans="1:18" x14ac:dyDescent="0.3">
      <c r="A801">
        <v>1800</v>
      </c>
      <c r="B801" s="3">
        <v>45634</v>
      </c>
      <c r="C801" s="3">
        <v>45635</v>
      </c>
      <c r="D801" t="s">
        <v>217</v>
      </c>
      <c r="E801" t="s">
        <v>573</v>
      </c>
      <c r="F801" t="s">
        <v>46</v>
      </c>
      <c r="G801" t="s">
        <v>32</v>
      </c>
      <c r="H801" t="s">
        <v>33</v>
      </c>
      <c r="I801" t="s">
        <v>34</v>
      </c>
      <c r="J801" t="s">
        <v>24</v>
      </c>
      <c r="K801" t="s">
        <v>212</v>
      </c>
      <c r="L801" t="s">
        <v>1411</v>
      </c>
      <c r="M801" s="1">
        <v>14194.62</v>
      </c>
      <c r="N801">
        <v>10</v>
      </c>
      <c r="O801" s="2">
        <v>0.3</v>
      </c>
      <c r="P801" s="1">
        <v>932.35</v>
      </c>
      <c r="Q801" t="s">
        <v>38</v>
      </c>
      <c r="R801" t="s">
        <v>120</v>
      </c>
    </row>
    <row r="802" spans="1:18" x14ac:dyDescent="0.3">
      <c r="A802">
        <v>1801</v>
      </c>
      <c r="B802" s="3">
        <v>45401</v>
      </c>
      <c r="C802" s="3">
        <v>45407</v>
      </c>
      <c r="D802" t="s">
        <v>552</v>
      </c>
      <c r="E802" t="s">
        <v>1101</v>
      </c>
      <c r="F802" t="s">
        <v>20</v>
      </c>
      <c r="G802" t="s">
        <v>90</v>
      </c>
      <c r="H802" t="s">
        <v>91</v>
      </c>
      <c r="I802" t="s">
        <v>23</v>
      </c>
      <c r="J802" t="s">
        <v>35</v>
      </c>
      <c r="K802" t="s">
        <v>42</v>
      </c>
      <c r="L802" t="s">
        <v>1412</v>
      </c>
      <c r="M802" s="1">
        <v>58751.54</v>
      </c>
      <c r="N802">
        <v>4</v>
      </c>
      <c r="O802" s="2">
        <v>0.3</v>
      </c>
      <c r="P802" s="1">
        <v>-2291.9</v>
      </c>
      <c r="Q802" t="s">
        <v>115</v>
      </c>
      <c r="R802" t="s">
        <v>39</v>
      </c>
    </row>
    <row r="803" spans="1:18" x14ac:dyDescent="0.3">
      <c r="A803">
        <v>1802</v>
      </c>
      <c r="B803" s="3">
        <v>45611</v>
      </c>
      <c r="C803" s="3">
        <v>45612</v>
      </c>
      <c r="D803" t="s">
        <v>933</v>
      </c>
      <c r="E803" t="s">
        <v>419</v>
      </c>
      <c r="F803" t="s">
        <v>46</v>
      </c>
      <c r="G803" t="s">
        <v>118</v>
      </c>
      <c r="H803" t="s">
        <v>118</v>
      </c>
      <c r="I803" t="s">
        <v>34</v>
      </c>
      <c r="J803" t="s">
        <v>24</v>
      </c>
      <c r="K803" t="s">
        <v>25</v>
      </c>
      <c r="L803" t="s">
        <v>1413</v>
      </c>
      <c r="M803" s="1">
        <v>40467.11</v>
      </c>
      <c r="N803">
        <v>1</v>
      </c>
      <c r="O803" s="2">
        <v>0.3</v>
      </c>
      <c r="P803" s="1">
        <v>181.23</v>
      </c>
      <c r="Q803" t="s">
        <v>27</v>
      </c>
      <c r="R803" t="s">
        <v>120</v>
      </c>
    </row>
    <row r="804" spans="1:18" x14ac:dyDescent="0.3">
      <c r="A804">
        <v>1803</v>
      </c>
      <c r="B804" s="3">
        <v>45325</v>
      </c>
      <c r="C804" s="3">
        <v>45326</v>
      </c>
      <c r="D804" t="s">
        <v>776</v>
      </c>
      <c r="E804" t="s">
        <v>1210</v>
      </c>
      <c r="F804" t="s">
        <v>46</v>
      </c>
      <c r="G804" t="s">
        <v>112</v>
      </c>
      <c r="H804" t="s">
        <v>113</v>
      </c>
      <c r="I804" t="s">
        <v>49</v>
      </c>
      <c r="J804" t="s">
        <v>64</v>
      </c>
      <c r="K804" t="s">
        <v>157</v>
      </c>
      <c r="L804" t="s">
        <v>1414</v>
      </c>
      <c r="M804" s="1">
        <v>22722.71</v>
      </c>
      <c r="N804">
        <v>3</v>
      </c>
      <c r="O804" s="2">
        <v>0.25</v>
      </c>
      <c r="P804" s="1">
        <v>4200.8999999999996</v>
      </c>
      <c r="Q804" t="s">
        <v>52</v>
      </c>
      <c r="R804" t="s">
        <v>39</v>
      </c>
    </row>
    <row r="805" spans="1:18" x14ac:dyDescent="0.3">
      <c r="A805">
        <v>1804</v>
      </c>
      <c r="B805" s="3">
        <v>45746</v>
      </c>
      <c r="C805" s="3">
        <v>45751</v>
      </c>
      <c r="D805" t="s">
        <v>983</v>
      </c>
      <c r="E805" t="s">
        <v>215</v>
      </c>
      <c r="F805" t="s">
        <v>31</v>
      </c>
      <c r="G805" t="s">
        <v>21</v>
      </c>
      <c r="H805" t="s">
        <v>22</v>
      </c>
      <c r="I805" t="s">
        <v>23</v>
      </c>
      <c r="J805" t="s">
        <v>64</v>
      </c>
      <c r="K805" t="s">
        <v>104</v>
      </c>
      <c r="L805" t="s">
        <v>1415</v>
      </c>
      <c r="M805" s="1">
        <v>50166.1</v>
      </c>
      <c r="N805">
        <v>4</v>
      </c>
      <c r="O805" s="2">
        <v>0.2</v>
      </c>
      <c r="P805" s="1">
        <v>7759.63</v>
      </c>
      <c r="Q805" t="s">
        <v>74</v>
      </c>
      <c r="R805" t="s">
        <v>120</v>
      </c>
    </row>
    <row r="806" spans="1:18" x14ac:dyDescent="0.3">
      <c r="A806">
        <v>1805</v>
      </c>
      <c r="B806" s="3">
        <v>45435</v>
      </c>
      <c r="C806" s="3">
        <v>45436</v>
      </c>
      <c r="D806" t="s">
        <v>393</v>
      </c>
      <c r="E806" t="s">
        <v>626</v>
      </c>
      <c r="F806" t="s">
        <v>46</v>
      </c>
      <c r="G806" t="s">
        <v>90</v>
      </c>
      <c r="H806" t="s">
        <v>91</v>
      </c>
      <c r="I806" t="s">
        <v>23</v>
      </c>
      <c r="J806" t="s">
        <v>24</v>
      </c>
      <c r="K806" t="s">
        <v>224</v>
      </c>
      <c r="L806" t="s">
        <v>1416</v>
      </c>
      <c r="M806" s="1">
        <v>42721.98</v>
      </c>
      <c r="N806">
        <v>1</v>
      </c>
      <c r="O806" s="2">
        <v>0.2</v>
      </c>
      <c r="P806" s="1">
        <v>2393.08</v>
      </c>
      <c r="Q806" t="s">
        <v>52</v>
      </c>
      <c r="R806" t="s">
        <v>120</v>
      </c>
    </row>
    <row r="807" spans="1:18" x14ac:dyDescent="0.3">
      <c r="A807">
        <v>1806</v>
      </c>
      <c r="B807" s="3">
        <v>45415</v>
      </c>
      <c r="C807" s="3">
        <v>45418</v>
      </c>
      <c r="D807" t="s">
        <v>159</v>
      </c>
      <c r="E807" t="s">
        <v>553</v>
      </c>
      <c r="F807" t="s">
        <v>31</v>
      </c>
      <c r="G807" t="s">
        <v>102</v>
      </c>
      <c r="H807" t="s">
        <v>103</v>
      </c>
      <c r="I807" t="s">
        <v>58</v>
      </c>
      <c r="J807" t="s">
        <v>24</v>
      </c>
      <c r="K807" t="s">
        <v>212</v>
      </c>
      <c r="L807" t="s">
        <v>1417</v>
      </c>
      <c r="M807" s="1">
        <v>79832.27</v>
      </c>
      <c r="N807">
        <v>5</v>
      </c>
      <c r="O807" s="2">
        <v>0.3</v>
      </c>
      <c r="P807" s="1">
        <v>11388.42</v>
      </c>
      <c r="Q807" t="s">
        <v>115</v>
      </c>
      <c r="R807" t="s">
        <v>28</v>
      </c>
    </row>
    <row r="808" spans="1:18" x14ac:dyDescent="0.3">
      <c r="A808">
        <v>1807</v>
      </c>
      <c r="B808" s="3">
        <v>45326</v>
      </c>
      <c r="C808" s="3">
        <v>45327</v>
      </c>
      <c r="D808" t="s">
        <v>180</v>
      </c>
      <c r="E808" t="s">
        <v>1141</v>
      </c>
      <c r="F808" t="s">
        <v>31</v>
      </c>
      <c r="G808" t="s">
        <v>95</v>
      </c>
      <c r="H808" t="s">
        <v>22</v>
      </c>
      <c r="I808" t="s">
        <v>23</v>
      </c>
      <c r="J808" t="s">
        <v>24</v>
      </c>
      <c r="K808" t="s">
        <v>50</v>
      </c>
      <c r="L808" t="s">
        <v>1418</v>
      </c>
      <c r="M808" s="1">
        <v>57566.74</v>
      </c>
      <c r="N808">
        <v>1</v>
      </c>
      <c r="O808" s="2">
        <v>0.15</v>
      </c>
      <c r="P808" s="1">
        <v>13744.57</v>
      </c>
      <c r="Q808" t="s">
        <v>82</v>
      </c>
      <c r="R808" t="s">
        <v>53</v>
      </c>
    </row>
    <row r="809" spans="1:18" x14ac:dyDescent="0.3">
      <c r="A809">
        <v>1808</v>
      </c>
      <c r="B809" s="3">
        <v>45582</v>
      </c>
      <c r="C809" s="3">
        <v>45587</v>
      </c>
      <c r="D809" t="s">
        <v>725</v>
      </c>
      <c r="E809" t="s">
        <v>930</v>
      </c>
      <c r="F809" t="s">
        <v>31</v>
      </c>
      <c r="G809" t="s">
        <v>85</v>
      </c>
      <c r="H809" t="s">
        <v>86</v>
      </c>
      <c r="I809" t="s">
        <v>49</v>
      </c>
      <c r="J809" t="s">
        <v>35</v>
      </c>
      <c r="K809" t="s">
        <v>42</v>
      </c>
      <c r="L809" t="s">
        <v>1419</v>
      </c>
      <c r="M809" s="1">
        <v>47737.94</v>
      </c>
      <c r="N809">
        <v>10</v>
      </c>
      <c r="O809" s="2">
        <v>0.2</v>
      </c>
      <c r="P809" s="1">
        <v>6439.45</v>
      </c>
      <c r="Q809" t="s">
        <v>67</v>
      </c>
      <c r="R809" t="s">
        <v>28</v>
      </c>
    </row>
    <row r="810" spans="1:18" x14ac:dyDescent="0.3">
      <c r="A810">
        <v>1809</v>
      </c>
      <c r="B810" s="3">
        <v>45369</v>
      </c>
      <c r="C810" s="3">
        <v>45374</v>
      </c>
      <c r="D810" t="s">
        <v>190</v>
      </c>
      <c r="E810" t="s">
        <v>138</v>
      </c>
      <c r="F810" t="s">
        <v>46</v>
      </c>
      <c r="G810" t="s">
        <v>90</v>
      </c>
      <c r="H810" t="s">
        <v>91</v>
      </c>
      <c r="I810" t="s">
        <v>23</v>
      </c>
      <c r="J810" t="s">
        <v>35</v>
      </c>
      <c r="K810" t="s">
        <v>36</v>
      </c>
      <c r="L810" t="s">
        <v>1420</v>
      </c>
      <c r="M810" s="1">
        <v>8471.91</v>
      </c>
      <c r="N810">
        <v>8</v>
      </c>
      <c r="O810" s="2">
        <v>0.3</v>
      </c>
      <c r="P810" s="1">
        <v>201.54</v>
      </c>
      <c r="Q810" t="s">
        <v>27</v>
      </c>
      <c r="R810" t="s">
        <v>120</v>
      </c>
    </row>
    <row r="811" spans="1:18" x14ac:dyDescent="0.3">
      <c r="A811">
        <v>1810</v>
      </c>
      <c r="B811" s="3">
        <v>45607</v>
      </c>
      <c r="C811" s="3">
        <v>45608</v>
      </c>
      <c r="D811" t="s">
        <v>399</v>
      </c>
      <c r="E811" t="s">
        <v>489</v>
      </c>
      <c r="F811" t="s">
        <v>46</v>
      </c>
      <c r="G811" t="s">
        <v>47</v>
      </c>
      <c r="H811" t="s">
        <v>48</v>
      </c>
      <c r="I811" t="s">
        <v>49</v>
      </c>
      <c r="J811" t="s">
        <v>24</v>
      </c>
      <c r="K811" t="s">
        <v>50</v>
      </c>
      <c r="L811" t="s">
        <v>1421</v>
      </c>
      <c r="M811" s="1">
        <v>74664.2</v>
      </c>
      <c r="N811">
        <v>2</v>
      </c>
      <c r="O811" s="2">
        <v>0.3</v>
      </c>
      <c r="P811" s="1">
        <v>12313.9</v>
      </c>
      <c r="Q811" t="s">
        <v>115</v>
      </c>
      <c r="R811" t="s">
        <v>120</v>
      </c>
    </row>
    <row r="812" spans="1:18" x14ac:dyDescent="0.3">
      <c r="A812">
        <v>1811</v>
      </c>
      <c r="B812" s="3">
        <v>45627</v>
      </c>
      <c r="C812" s="3">
        <v>45632</v>
      </c>
      <c r="D812" t="s">
        <v>1007</v>
      </c>
      <c r="E812" t="s">
        <v>607</v>
      </c>
      <c r="F812" t="s">
        <v>20</v>
      </c>
      <c r="G812" t="s">
        <v>32</v>
      </c>
      <c r="H812" t="s">
        <v>33</v>
      </c>
      <c r="I812" t="s">
        <v>34</v>
      </c>
      <c r="J812" t="s">
        <v>64</v>
      </c>
      <c r="K812" t="s">
        <v>104</v>
      </c>
      <c r="L812" t="s">
        <v>1422</v>
      </c>
      <c r="M812" s="1">
        <v>38594.050000000003</v>
      </c>
      <c r="N812">
        <v>9</v>
      </c>
      <c r="O812" s="2">
        <v>0.3</v>
      </c>
      <c r="P812" s="1">
        <v>3333.22</v>
      </c>
      <c r="Q812" t="s">
        <v>67</v>
      </c>
      <c r="R812" t="s">
        <v>28</v>
      </c>
    </row>
    <row r="813" spans="1:18" x14ac:dyDescent="0.3">
      <c r="A813">
        <v>1812</v>
      </c>
      <c r="B813" s="3">
        <v>45920</v>
      </c>
      <c r="C813" s="3">
        <v>45926</v>
      </c>
      <c r="D813" t="s">
        <v>891</v>
      </c>
      <c r="E813" t="s">
        <v>202</v>
      </c>
      <c r="F813" t="s">
        <v>31</v>
      </c>
      <c r="G813" t="s">
        <v>21</v>
      </c>
      <c r="H813" t="s">
        <v>22</v>
      </c>
      <c r="I813" t="s">
        <v>23</v>
      </c>
      <c r="J813" t="s">
        <v>35</v>
      </c>
      <c r="K813" t="s">
        <v>129</v>
      </c>
      <c r="L813" t="s">
        <v>1423</v>
      </c>
      <c r="M813" s="1">
        <v>29329.83</v>
      </c>
      <c r="N813">
        <v>2</v>
      </c>
      <c r="O813" s="2">
        <v>0.25</v>
      </c>
      <c r="P813" s="1">
        <v>4405.57</v>
      </c>
      <c r="Q813" t="s">
        <v>82</v>
      </c>
      <c r="R813" t="s">
        <v>28</v>
      </c>
    </row>
    <row r="814" spans="1:18" x14ac:dyDescent="0.3">
      <c r="A814">
        <v>1813</v>
      </c>
      <c r="B814" s="3">
        <v>45664</v>
      </c>
      <c r="C814" s="3">
        <v>45669</v>
      </c>
      <c r="D814" t="s">
        <v>882</v>
      </c>
      <c r="E814" t="s">
        <v>1162</v>
      </c>
      <c r="F814" t="s">
        <v>46</v>
      </c>
      <c r="G814" t="s">
        <v>70</v>
      </c>
      <c r="H814" t="s">
        <v>71</v>
      </c>
      <c r="I814" t="s">
        <v>58</v>
      </c>
      <c r="J814" t="s">
        <v>24</v>
      </c>
      <c r="K814" t="s">
        <v>50</v>
      </c>
      <c r="L814" t="s">
        <v>1424</v>
      </c>
      <c r="M814" s="1">
        <v>87926.66</v>
      </c>
      <c r="N814">
        <v>7</v>
      </c>
      <c r="O814" s="2">
        <v>0.3</v>
      </c>
      <c r="P814" s="1">
        <v>2505.02</v>
      </c>
      <c r="Q814" t="s">
        <v>38</v>
      </c>
      <c r="R814" t="s">
        <v>39</v>
      </c>
    </row>
    <row r="815" spans="1:18" x14ac:dyDescent="0.3">
      <c r="A815">
        <v>1814</v>
      </c>
      <c r="B815" s="3">
        <v>45611</v>
      </c>
      <c r="C815" s="3">
        <v>45614</v>
      </c>
      <c r="D815" t="s">
        <v>1333</v>
      </c>
      <c r="E815" t="s">
        <v>656</v>
      </c>
      <c r="F815" t="s">
        <v>20</v>
      </c>
      <c r="G815" t="s">
        <v>107</v>
      </c>
      <c r="H815" t="s">
        <v>108</v>
      </c>
      <c r="I815" t="s">
        <v>34</v>
      </c>
      <c r="J815" t="s">
        <v>24</v>
      </c>
      <c r="K815" t="s">
        <v>72</v>
      </c>
      <c r="L815" t="s">
        <v>1425</v>
      </c>
      <c r="M815" s="1">
        <v>85141.42</v>
      </c>
      <c r="N815">
        <v>2</v>
      </c>
      <c r="O815" s="2">
        <v>0.15</v>
      </c>
      <c r="P815" s="1">
        <v>4938.62</v>
      </c>
      <c r="Q815" t="s">
        <v>61</v>
      </c>
      <c r="R815" t="s">
        <v>53</v>
      </c>
    </row>
    <row r="816" spans="1:18" x14ac:dyDescent="0.3">
      <c r="A816">
        <v>1815</v>
      </c>
      <c r="B816" s="3">
        <v>45878</v>
      </c>
      <c r="C816" s="3">
        <v>45884</v>
      </c>
      <c r="D816" t="s">
        <v>1426</v>
      </c>
      <c r="E816" t="s">
        <v>19</v>
      </c>
      <c r="F816" t="s">
        <v>46</v>
      </c>
      <c r="G816" t="s">
        <v>70</v>
      </c>
      <c r="H816" t="s">
        <v>71</v>
      </c>
      <c r="I816" t="s">
        <v>58</v>
      </c>
      <c r="J816" t="s">
        <v>64</v>
      </c>
      <c r="K816" t="s">
        <v>65</v>
      </c>
      <c r="L816" t="s">
        <v>1427</v>
      </c>
      <c r="M816" s="1">
        <v>24003.17</v>
      </c>
      <c r="N816">
        <v>6</v>
      </c>
      <c r="O816" s="2">
        <v>0.05</v>
      </c>
      <c r="P816" s="1">
        <v>2871.94</v>
      </c>
      <c r="Q816" t="s">
        <v>27</v>
      </c>
      <c r="R816" t="s">
        <v>39</v>
      </c>
    </row>
    <row r="817" spans="1:18" x14ac:dyDescent="0.3">
      <c r="A817">
        <v>1816</v>
      </c>
      <c r="B817" s="3">
        <v>45738</v>
      </c>
      <c r="C817" s="3">
        <v>45744</v>
      </c>
      <c r="D817" t="s">
        <v>361</v>
      </c>
      <c r="E817" t="s">
        <v>205</v>
      </c>
      <c r="F817" t="s">
        <v>46</v>
      </c>
      <c r="G817" t="s">
        <v>32</v>
      </c>
      <c r="H817" t="s">
        <v>33</v>
      </c>
      <c r="I817" t="s">
        <v>34</v>
      </c>
      <c r="J817" t="s">
        <v>24</v>
      </c>
      <c r="K817" t="s">
        <v>212</v>
      </c>
      <c r="L817" t="s">
        <v>955</v>
      </c>
      <c r="M817" s="1">
        <v>22368.73</v>
      </c>
      <c r="N817">
        <v>5</v>
      </c>
      <c r="O817" s="2">
        <v>0</v>
      </c>
      <c r="P817" s="1">
        <v>3985.93</v>
      </c>
      <c r="Q817" t="s">
        <v>61</v>
      </c>
      <c r="R817" t="s">
        <v>120</v>
      </c>
    </row>
    <row r="818" spans="1:18" x14ac:dyDescent="0.3">
      <c r="A818">
        <v>1817</v>
      </c>
      <c r="B818" s="3">
        <v>45353</v>
      </c>
      <c r="C818" s="3">
        <v>45355</v>
      </c>
      <c r="D818" t="s">
        <v>377</v>
      </c>
      <c r="E818" t="s">
        <v>690</v>
      </c>
      <c r="F818" t="s">
        <v>20</v>
      </c>
      <c r="G818" t="s">
        <v>112</v>
      </c>
      <c r="H818" t="s">
        <v>113</v>
      </c>
      <c r="I818" t="s">
        <v>49</v>
      </c>
      <c r="J818" t="s">
        <v>24</v>
      </c>
      <c r="K818" t="s">
        <v>72</v>
      </c>
      <c r="L818" t="s">
        <v>1428</v>
      </c>
      <c r="M818" s="1">
        <v>4026.18</v>
      </c>
      <c r="N818">
        <v>5</v>
      </c>
      <c r="O818" s="2">
        <v>0.1</v>
      </c>
      <c r="P818" s="1">
        <v>541.89</v>
      </c>
      <c r="Q818" t="s">
        <v>27</v>
      </c>
      <c r="R818" t="s">
        <v>120</v>
      </c>
    </row>
    <row r="819" spans="1:18" x14ac:dyDescent="0.3">
      <c r="A819">
        <v>1818</v>
      </c>
      <c r="B819" s="3">
        <v>45753</v>
      </c>
      <c r="C819" s="3">
        <v>45756</v>
      </c>
      <c r="D819" t="s">
        <v>1429</v>
      </c>
      <c r="E819" t="s">
        <v>326</v>
      </c>
      <c r="F819" t="s">
        <v>46</v>
      </c>
      <c r="G819" t="s">
        <v>85</v>
      </c>
      <c r="H819" t="s">
        <v>86</v>
      </c>
      <c r="I819" t="s">
        <v>49</v>
      </c>
      <c r="J819" t="s">
        <v>64</v>
      </c>
      <c r="K819" t="s">
        <v>65</v>
      </c>
      <c r="L819" t="s">
        <v>1430</v>
      </c>
      <c r="M819" s="1">
        <v>2422.2600000000002</v>
      </c>
      <c r="N819">
        <v>4</v>
      </c>
      <c r="O819" s="2">
        <v>0.15</v>
      </c>
      <c r="P819" s="1">
        <v>319.82</v>
      </c>
      <c r="Q819" t="s">
        <v>115</v>
      </c>
      <c r="R819" t="s">
        <v>120</v>
      </c>
    </row>
    <row r="820" spans="1:18" x14ac:dyDescent="0.3">
      <c r="A820">
        <v>1819</v>
      </c>
      <c r="B820" s="3">
        <v>45365</v>
      </c>
      <c r="C820" s="3">
        <v>45370</v>
      </c>
      <c r="D820" t="s">
        <v>78</v>
      </c>
      <c r="E820" t="s">
        <v>111</v>
      </c>
      <c r="F820" t="s">
        <v>31</v>
      </c>
      <c r="G820" t="s">
        <v>70</v>
      </c>
      <c r="H820" t="s">
        <v>71</v>
      </c>
      <c r="I820" t="s">
        <v>58</v>
      </c>
      <c r="J820" t="s">
        <v>24</v>
      </c>
      <c r="K820" t="s">
        <v>212</v>
      </c>
      <c r="L820" t="s">
        <v>647</v>
      </c>
      <c r="M820" s="1">
        <v>85509.97</v>
      </c>
      <c r="N820">
        <v>4</v>
      </c>
      <c r="O820" s="2">
        <v>0.3</v>
      </c>
      <c r="P820" s="1">
        <v>7566.54</v>
      </c>
      <c r="Q820" t="s">
        <v>52</v>
      </c>
      <c r="R820" t="s">
        <v>39</v>
      </c>
    </row>
    <row r="821" spans="1:18" x14ac:dyDescent="0.3">
      <c r="A821">
        <v>1820</v>
      </c>
      <c r="B821" s="3">
        <v>45681</v>
      </c>
      <c r="C821" s="3">
        <v>45686</v>
      </c>
      <c r="D821" t="s">
        <v>337</v>
      </c>
      <c r="E821" t="s">
        <v>885</v>
      </c>
      <c r="F821" t="s">
        <v>46</v>
      </c>
      <c r="G821" t="s">
        <v>21</v>
      </c>
      <c r="H821" t="s">
        <v>22</v>
      </c>
      <c r="I821" t="s">
        <v>23</v>
      </c>
      <c r="J821" t="s">
        <v>35</v>
      </c>
      <c r="K821" t="s">
        <v>59</v>
      </c>
      <c r="L821" t="s">
        <v>1431</v>
      </c>
      <c r="M821" s="1">
        <v>52203.49</v>
      </c>
      <c r="N821">
        <v>1</v>
      </c>
      <c r="O821" s="2">
        <v>0.25</v>
      </c>
      <c r="P821" s="1">
        <v>4740.62</v>
      </c>
      <c r="Q821" t="s">
        <v>61</v>
      </c>
      <c r="R821" t="s">
        <v>53</v>
      </c>
    </row>
    <row r="822" spans="1:18" x14ac:dyDescent="0.3">
      <c r="A822">
        <v>1821</v>
      </c>
      <c r="B822" s="3">
        <v>45858</v>
      </c>
      <c r="C822" s="3">
        <v>45859</v>
      </c>
      <c r="D822" t="s">
        <v>220</v>
      </c>
      <c r="E822" t="s">
        <v>312</v>
      </c>
      <c r="F822" t="s">
        <v>20</v>
      </c>
      <c r="G822" t="s">
        <v>112</v>
      </c>
      <c r="H822" t="s">
        <v>113</v>
      </c>
      <c r="I822" t="s">
        <v>49</v>
      </c>
      <c r="J822" t="s">
        <v>24</v>
      </c>
      <c r="K822" t="s">
        <v>72</v>
      </c>
      <c r="L822" t="s">
        <v>1432</v>
      </c>
      <c r="M822" s="1">
        <v>44150.41</v>
      </c>
      <c r="N822">
        <v>3</v>
      </c>
      <c r="O822" s="2">
        <v>0</v>
      </c>
      <c r="P822" s="1">
        <v>5775.57</v>
      </c>
      <c r="Q822" t="s">
        <v>82</v>
      </c>
      <c r="R822" t="s">
        <v>28</v>
      </c>
    </row>
    <row r="823" spans="1:18" x14ac:dyDescent="0.3">
      <c r="A823">
        <v>1822</v>
      </c>
      <c r="B823" s="3">
        <v>45636</v>
      </c>
      <c r="C823" s="3">
        <v>45642</v>
      </c>
      <c r="D823" t="s">
        <v>314</v>
      </c>
      <c r="E823" t="s">
        <v>389</v>
      </c>
      <c r="F823" t="s">
        <v>46</v>
      </c>
      <c r="G823" t="s">
        <v>21</v>
      </c>
      <c r="H823" t="s">
        <v>22</v>
      </c>
      <c r="I823" t="s">
        <v>23</v>
      </c>
      <c r="J823" t="s">
        <v>24</v>
      </c>
      <c r="K823" t="s">
        <v>25</v>
      </c>
      <c r="L823" t="s">
        <v>1433</v>
      </c>
      <c r="M823" s="1">
        <v>68115.960000000006</v>
      </c>
      <c r="N823">
        <v>9</v>
      </c>
      <c r="O823" s="2">
        <v>0.15</v>
      </c>
      <c r="P823" s="1">
        <v>12038.28</v>
      </c>
      <c r="Q823" t="s">
        <v>67</v>
      </c>
      <c r="R823" t="s">
        <v>53</v>
      </c>
    </row>
    <row r="824" spans="1:18" x14ac:dyDescent="0.3">
      <c r="A824">
        <v>1823</v>
      </c>
      <c r="B824" s="3">
        <v>45640</v>
      </c>
      <c r="C824" s="3">
        <v>45643</v>
      </c>
      <c r="D824" t="s">
        <v>857</v>
      </c>
      <c r="E824" t="s">
        <v>516</v>
      </c>
      <c r="F824" t="s">
        <v>31</v>
      </c>
      <c r="G824" t="s">
        <v>47</v>
      </c>
      <c r="H824" t="s">
        <v>48</v>
      </c>
      <c r="I824" t="s">
        <v>49</v>
      </c>
      <c r="J824" t="s">
        <v>64</v>
      </c>
      <c r="K824" t="s">
        <v>157</v>
      </c>
      <c r="L824" t="s">
        <v>1434</v>
      </c>
      <c r="M824" s="1">
        <v>59272.07</v>
      </c>
      <c r="N824">
        <v>7</v>
      </c>
      <c r="O824" s="2">
        <v>0.3</v>
      </c>
      <c r="P824" s="1">
        <v>8328.92</v>
      </c>
      <c r="Q824" t="s">
        <v>115</v>
      </c>
      <c r="R824" t="s">
        <v>39</v>
      </c>
    </row>
    <row r="825" spans="1:18" x14ac:dyDescent="0.3">
      <c r="A825">
        <v>1824</v>
      </c>
      <c r="B825" s="3">
        <v>45451</v>
      </c>
      <c r="C825" s="3">
        <v>45453</v>
      </c>
      <c r="D825" t="s">
        <v>1372</v>
      </c>
      <c r="E825" t="s">
        <v>368</v>
      </c>
      <c r="F825" t="s">
        <v>20</v>
      </c>
      <c r="G825" t="s">
        <v>90</v>
      </c>
      <c r="H825" t="s">
        <v>91</v>
      </c>
      <c r="I825" t="s">
        <v>23</v>
      </c>
      <c r="J825" t="s">
        <v>24</v>
      </c>
      <c r="K825" t="s">
        <v>72</v>
      </c>
      <c r="L825" t="s">
        <v>587</v>
      </c>
      <c r="M825" s="1">
        <v>3533.16</v>
      </c>
      <c r="N825">
        <v>9</v>
      </c>
      <c r="O825" s="2">
        <v>0.3</v>
      </c>
      <c r="P825" s="1">
        <v>189.75</v>
      </c>
      <c r="Q825" t="s">
        <v>52</v>
      </c>
      <c r="R825" t="s">
        <v>39</v>
      </c>
    </row>
    <row r="826" spans="1:18" x14ac:dyDescent="0.3">
      <c r="A826">
        <v>1825</v>
      </c>
      <c r="B826" s="3">
        <v>45346</v>
      </c>
      <c r="C826" s="3">
        <v>45350</v>
      </c>
      <c r="D826" t="s">
        <v>1150</v>
      </c>
      <c r="E826" t="s">
        <v>600</v>
      </c>
      <c r="F826" t="s">
        <v>31</v>
      </c>
      <c r="G826" t="s">
        <v>112</v>
      </c>
      <c r="H826" t="s">
        <v>113</v>
      </c>
      <c r="I826" t="s">
        <v>49</v>
      </c>
      <c r="J826" t="s">
        <v>24</v>
      </c>
      <c r="K826" t="s">
        <v>72</v>
      </c>
      <c r="L826" t="s">
        <v>1435</v>
      </c>
      <c r="M826" s="1">
        <v>72697.149999999994</v>
      </c>
      <c r="N826">
        <v>2</v>
      </c>
      <c r="O826" s="2">
        <v>0.3</v>
      </c>
      <c r="P826" s="1">
        <v>6571.45</v>
      </c>
      <c r="Q826" t="s">
        <v>38</v>
      </c>
      <c r="R826" t="s">
        <v>53</v>
      </c>
    </row>
    <row r="827" spans="1:18" x14ac:dyDescent="0.3">
      <c r="A827">
        <v>1826</v>
      </c>
      <c r="B827" s="3">
        <v>45673</v>
      </c>
      <c r="C827" s="3">
        <v>45675</v>
      </c>
      <c r="D827" t="s">
        <v>1436</v>
      </c>
      <c r="E827" t="s">
        <v>456</v>
      </c>
      <c r="F827" t="s">
        <v>46</v>
      </c>
      <c r="G827" t="s">
        <v>85</v>
      </c>
      <c r="H827" t="s">
        <v>86</v>
      </c>
      <c r="I827" t="s">
        <v>49</v>
      </c>
      <c r="J827" t="s">
        <v>35</v>
      </c>
      <c r="K827" t="s">
        <v>42</v>
      </c>
      <c r="L827" t="s">
        <v>1437</v>
      </c>
      <c r="M827" s="1">
        <v>86319.49</v>
      </c>
      <c r="N827">
        <v>7</v>
      </c>
      <c r="O827" s="2">
        <v>0.1</v>
      </c>
      <c r="P827" s="1">
        <v>22409.95</v>
      </c>
      <c r="Q827" t="s">
        <v>115</v>
      </c>
      <c r="R827" t="s">
        <v>39</v>
      </c>
    </row>
    <row r="828" spans="1:18" x14ac:dyDescent="0.3">
      <c r="A828">
        <v>1827</v>
      </c>
      <c r="B828" s="3">
        <v>45741</v>
      </c>
      <c r="C828" s="3">
        <v>45745</v>
      </c>
      <c r="D828" t="s">
        <v>721</v>
      </c>
      <c r="E828" t="s">
        <v>1055</v>
      </c>
      <c r="F828" t="s">
        <v>31</v>
      </c>
      <c r="G828" t="s">
        <v>85</v>
      </c>
      <c r="H828" t="s">
        <v>86</v>
      </c>
      <c r="I828" t="s">
        <v>49</v>
      </c>
      <c r="J828" t="s">
        <v>35</v>
      </c>
      <c r="K828" t="s">
        <v>59</v>
      </c>
      <c r="L828" t="s">
        <v>1079</v>
      </c>
      <c r="M828" s="1">
        <v>49916.61</v>
      </c>
      <c r="N828">
        <v>4</v>
      </c>
      <c r="O828" s="2">
        <v>0.15</v>
      </c>
      <c r="P828" s="1">
        <v>2774.82</v>
      </c>
      <c r="Q828" t="s">
        <v>52</v>
      </c>
      <c r="R828" t="s">
        <v>120</v>
      </c>
    </row>
    <row r="829" spans="1:18" x14ac:dyDescent="0.3">
      <c r="A829">
        <v>1828</v>
      </c>
      <c r="B829" s="3">
        <v>45752</v>
      </c>
      <c r="C829" s="3">
        <v>45754</v>
      </c>
      <c r="D829" t="s">
        <v>358</v>
      </c>
      <c r="E829" t="s">
        <v>943</v>
      </c>
      <c r="F829" t="s">
        <v>31</v>
      </c>
      <c r="G829" t="s">
        <v>107</v>
      </c>
      <c r="H829" t="s">
        <v>108</v>
      </c>
      <c r="I829" t="s">
        <v>34</v>
      </c>
      <c r="J829" t="s">
        <v>24</v>
      </c>
      <c r="K829" t="s">
        <v>224</v>
      </c>
      <c r="L829" t="s">
        <v>1438</v>
      </c>
      <c r="M829" s="1">
        <v>84344.01</v>
      </c>
      <c r="N829">
        <v>2</v>
      </c>
      <c r="O829" s="2">
        <v>0.15</v>
      </c>
      <c r="P829" s="1">
        <v>6534.09</v>
      </c>
      <c r="Q829" t="s">
        <v>52</v>
      </c>
      <c r="R829" t="s">
        <v>120</v>
      </c>
    </row>
    <row r="830" spans="1:18" x14ac:dyDescent="0.3">
      <c r="A830">
        <v>1829</v>
      </c>
      <c r="B830" s="3">
        <v>45887</v>
      </c>
      <c r="C830" s="3">
        <v>45893</v>
      </c>
      <c r="D830" t="s">
        <v>866</v>
      </c>
      <c r="E830" t="s">
        <v>227</v>
      </c>
      <c r="F830" t="s">
        <v>46</v>
      </c>
      <c r="G830" t="s">
        <v>85</v>
      </c>
      <c r="H830" t="s">
        <v>86</v>
      </c>
      <c r="I830" t="s">
        <v>49</v>
      </c>
      <c r="J830" t="s">
        <v>24</v>
      </c>
      <c r="K830" t="s">
        <v>50</v>
      </c>
      <c r="L830" t="s">
        <v>1439</v>
      </c>
      <c r="M830" s="1">
        <v>26531.11</v>
      </c>
      <c r="N830">
        <v>5</v>
      </c>
      <c r="O830" s="2">
        <v>0.1</v>
      </c>
      <c r="P830" s="1">
        <v>1537.56</v>
      </c>
      <c r="Q830" t="s">
        <v>52</v>
      </c>
      <c r="R830" t="s">
        <v>39</v>
      </c>
    </row>
    <row r="831" spans="1:18" x14ac:dyDescent="0.3">
      <c r="A831">
        <v>1830</v>
      </c>
      <c r="B831" s="3">
        <v>45388</v>
      </c>
      <c r="C831" s="3">
        <v>45390</v>
      </c>
      <c r="D831" t="s">
        <v>696</v>
      </c>
      <c r="E831" t="s">
        <v>1440</v>
      </c>
      <c r="F831" t="s">
        <v>46</v>
      </c>
      <c r="G831" t="s">
        <v>32</v>
      </c>
      <c r="H831" t="s">
        <v>33</v>
      </c>
      <c r="I831" t="s">
        <v>34</v>
      </c>
      <c r="J831" t="s">
        <v>35</v>
      </c>
      <c r="K831" t="s">
        <v>42</v>
      </c>
      <c r="L831" t="s">
        <v>1441</v>
      </c>
      <c r="M831" s="1">
        <v>28516.76</v>
      </c>
      <c r="N831">
        <v>6</v>
      </c>
      <c r="O831" s="2">
        <v>0.1</v>
      </c>
      <c r="P831" s="1">
        <v>7246.42</v>
      </c>
      <c r="Q831" t="s">
        <v>61</v>
      </c>
      <c r="R831" t="s">
        <v>120</v>
      </c>
    </row>
    <row r="832" spans="1:18" x14ac:dyDescent="0.3">
      <c r="A832">
        <v>1831</v>
      </c>
      <c r="B832" s="3">
        <v>45488</v>
      </c>
      <c r="C832" s="3">
        <v>45489</v>
      </c>
      <c r="D832" t="s">
        <v>410</v>
      </c>
      <c r="E832" t="s">
        <v>270</v>
      </c>
      <c r="F832" t="s">
        <v>31</v>
      </c>
      <c r="G832" t="s">
        <v>107</v>
      </c>
      <c r="H832" t="s">
        <v>108</v>
      </c>
      <c r="I832" t="s">
        <v>34</v>
      </c>
      <c r="J832" t="s">
        <v>64</v>
      </c>
      <c r="K832" t="s">
        <v>80</v>
      </c>
      <c r="L832" t="s">
        <v>1442</v>
      </c>
      <c r="M832" s="1">
        <v>74734.62</v>
      </c>
      <c r="N832">
        <v>4</v>
      </c>
      <c r="O832" s="2">
        <v>0.25</v>
      </c>
      <c r="P832" s="1">
        <v>10544</v>
      </c>
      <c r="Q832" t="s">
        <v>27</v>
      </c>
      <c r="R832" t="s">
        <v>39</v>
      </c>
    </row>
    <row r="833" spans="1:18" x14ac:dyDescent="0.3">
      <c r="A833">
        <v>1832</v>
      </c>
      <c r="B833" s="3">
        <v>46012</v>
      </c>
      <c r="C833" s="3">
        <v>46018</v>
      </c>
      <c r="D833" t="s">
        <v>1182</v>
      </c>
      <c r="E833" t="s">
        <v>1337</v>
      </c>
      <c r="F833" t="s">
        <v>31</v>
      </c>
      <c r="G833" t="s">
        <v>85</v>
      </c>
      <c r="H833" t="s">
        <v>86</v>
      </c>
      <c r="I833" t="s">
        <v>49</v>
      </c>
      <c r="J833" t="s">
        <v>64</v>
      </c>
      <c r="K833" t="s">
        <v>104</v>
      </c>
      <c r="L833" t="s">
        <v>1443</v>
      </c>
      <c r="M833" s="1">
        <v>15929.66</v>
      </c>
      <c r="N833">
        <v>10</v>
      </c>
      <c r="O833" s="2">
        <v>0.25</v>
      </c>
      <c r="P833" s="1">
        <v>1103.0999999999999</v>
      </c>
      <c r="Q833" t="s">
        <v>27</v>
      </c>
      <c r="R833" t="s">
        <v>53</v>
      </c>
    </row>
    <row r="834" spans="1:18" x14ac:dyDescent="0.3">
      <c r="A834">
        <v>1833</v>
      </c>
      <c r="B834" s="3">
        <v>45966</v>
      </c>
      <c r="C834" s="3">
        <v>45972</v>
      </c>
      <c r="D834" t="s">
        <v>882</v>
      </c>
      <c r="E834" t="s">
        <v>1444</v>
      </c>
      <c r="F834" t="s">
        <v>46</v>
      </c>
      <c r="G834" t="s">
        <v>47</v>
      </c>
      <c r="H834" t="s">
        <v>48</v>
      </c>
      <c r="I834" t="s">
        <v>49</v>
      </c>
      <c r="J834" t="s">
        <v>64</v>
      </c>
      <c r="K834" t="s">
        <v>80</v>
      </c>
      <c r="L834" t="s">
        <v>1445</v>
      </c>
      <c r="M834" s="1">
        <v>49277.97</v>
      </c>
      <c r="N834">
        <v>8</v>
      </c>
      <c r="O834" s="2">
        <v>0.1</v>
      </c>
      <c r="P834" s="1">
        <v>3547.61</v>
      </c>
      <c r="Q834" t="s">
        <v>82</v>
      </c>
      <c r="R834" t="s">
        <v>39</v>
      </c>
    </row>
    <row r="835" spans="1:18" x14ac:dyDescent="0.3">
      <c r="A835">
        <v>1834</v>
      </c>
      <c r="B835" s="3">
        <v>45808</v>
      </c>
      <c r="C835" s="3">
        <v>45809</v>
      </c>
      <c r="D835" t="s">
        <v>262</v>
      </c>
      <c r="E835" t="s">
        <v>229</v>
      </c>
      <c r="F835" t="s">
        <v>46</v>
      </c>
      <c r="G835" t="s">
        <v>70</v>
      </c>
      <c r="H835" t="s">
        <v>71</v>
      </c>
      <c r="I835" t="s">
        <v>58</v>
      </c>
      <c r="J835" t="s">
        <v>24</v>
      </c>
      <c r="K835" t="s">
        <v>212</v>
      </c>
      <c r="L835" t="s">
        <v>1446</v>
      </c>
      <c r="M835" s="1">
        <v>16629.48</v>
      </c>
      <c r="N835">
        <v>2</v>
      </c>
      <c r="O835" s="2">
        <v>0.1</v>
      </c>
      <c r="P835" s="1">
        <v>2419.1</v>
      </c>
      <c r="Q835" t="s">
        <v>52</v>
      </c>
      <c r="R835" t="s">
        <v>39</v>
      </c>
    </row>
    <row r="836" spans="1:18" x14ac:dyDescent="0.3">
      <c r="A836">
        <v>1835</v>
      </c>
      <c r="B836" s="3">
        <v>45540</v>
      </c>
      <c r="C836" s="3">
        <v>45542</v>
      </c>
      <c r="D836" t="s">
        <v>497</v>
      </c>
      <c r="E836" t="s">
        <v>265</v>
      </c>
      <c r="F836" t="s">
        <v>46</v>
      </c>
      <c r="G836" t="s">
        <v>112</v>
      </c>
      <c r="H836" t="s">
        <v>113</v>
      </c>
      <c r="I836" t="s">
        <v>49</v>
      </c>
      <c r="J836" t="s">
        <v>35</v>
      </c>
      <c r="K836" t="s">
        <v>129</v>
      </c>
      <c r="L836" t="s">
        <v>1447</v>
      </c>
      <c r="M836" s="1">
        <v>12966.27</v>
      </c>
      <c r="N836">
        <v>5</v>
      </c>
      <c r="O836" s="2">
        <v>0.2</v>
      </c>
      <c r="P836" s="1">
        <v>2838.28</v>
      </c>
      <c r="Q836" t="s">
        <v>38</v>
      </c>
      <c r="R836" t="s">
        <v>120</v>
      </c>
    </row>
    <row r="837" spans="1:18" x14ac:dyDescent="0.3">
      <c r="A837">
        <v>1836</v>
      </c>
      <c r="B837" s="3">
        <v>45519</v>
      </c>
      <c r="C837" s="3">
        <v>45525</v>
      </c>
      <c r="D837" t="s">
        <v>243</v>
      </c>
      <c r="E837" t="s">
        <v>1201</v>
      </c>
      <c r="F837" t="s">
        <v>31</v>
      </c>
      <c r="G837" t="s">
        <v>102</v>
      </c>
      <c r="H837" t="s">
        <v>103</v>
      </c>
      <c r="I837" t="s">
        <v>58</v>
      </c>
      <c r="J837" t="s">
        <v>24</v>
      </c>
      <c r="K837" t="s">
        <v>25</v>
      </c>
      <c r="L837" t="s">
        <v>1448</v>
      </c>
      <c r="M837" s="1">
        <v>17037.849999999999</v>
      </c>
      <c r="N837">
        <v>5</v>
      </c>
      <c r="O837" s="2">
        <v>0.2</v>
      </c>
      <c r="P837" s="1">
        <v>3041.27</v>
      </c>
      <c r="Q837" t="s">
        <v>74</v>
      </c>
      <c r="R837" t="s">
        <v>39</v>
      </c>
    </row>
    <row r="838" spans="1:18" x14ac:dyDescent="0.3">
      <c r="A838">
        <v>1837</v>
      </c>
      <c r="B838" s="3">
        <v>45330</v>
      </c>
      <c r="C838" s="3">
        <v>45331</v>
      </c>
      <c r="D838" t="s">
        <v>396</v>
      </c>
      <c r="E838" t="s">
        <v>1449</v>
      </c>
      <c r="F838" t="s">
        <v>31</v>
      </c>
      <c r="G838" t="s">
        <v>90</v>
      </c>
      <c r="H838" t="s">
        <v>91</v>
      </c>
      <c r="I838" t="s">
        <v>23</v>
      </c>
      <c r="J838" t="s">
        <v>64</v>
      </c>
      <c r="K838" t="s">
        <v>157</v>
      </c>
      <c r="L838" t="s">
        <v>1450</v>
      </c>
      <c r="M838" s="1">
        <v>63304.24</v>
      </c>
      <c r="N838">
        <v>2</v>
      </c>
      <c r="O838" s="2">
        <v>0.3</v>
      </c>
      <c r="P838" s="1">
        <v>10507.29</v>
      </c>
      <c r="Q838" t="s">
        <v>82</v>
      </c>
      <c r="R838" t="s">
        <v>120</v>
      </c>
    </row>
    <row r="839" spans="1:18" x14ac:dyDescent="0.3">
      <c r="A839">
        <v>1838</v>
      </c>
      <c r="B839" s="3">
        <v>45350</v>
      </c>
      <c r="C839" s="3">
        <v>45355</v>
      </c>
      <c r="D839" t="s">
        <v>941</v>
      </c>
      <c r="E839" t="s">
        <v>244</v>
      </c>
      <c r="F839" t="s">
        <v>20</v>
      </c>
      <c r="G839" t="s">
        <v>107</v>
      </c>
      <c r="H839" t="s">
        <v>108</v>
      </c>
      <c r="I839" t="s">
        <v>34</v>
      </c>
      <c r="J839" t="s">
        <v>35</v>
      </c>
      <c r="K839" t="s">
        <v>129</v>
      </c>
      <c r="L839" t="s">
        <v>1451</v>
      </c>
      <c r="M839" s="1">
        <v>68834.25</v>
      </c>
      <c r="N839">
        <v>6</v>
      </c>
      <c r="O839" s="2">
        <v>0.25</v>
      </c>
      <c r="P839" s="1">
        <v>12086.05</v>
      </c>
      <c r="Q839" t="s">
        <v>115</v>
      </c>
      <c r="R839" t="s">
        <v>39</v>
      </c>
    </row>
    <row r="840" spans="1:18" x14ac:dyDescent="0.3">
      <c r="A840">
        <v>1839</v>
      </c>
      <c r="B840" s="3">
        <v>45392</v>
      </c>
      <c r="C840" s="3">
        <v>45394</v>
      </c>
      <c r="D840" t="s">
        <v>696</v>
      </c>
      <c r="E840" t="s">
        <v>730</v>
      </c>
      <c r="F840" t="s">
        <v>31</v>
      </c>
      <c r="G840" t="s">
        <v>56</v>
      </c>
      <c r="H840" t="s">
        <v>57</v>
      </c>
      <c r="I840" t="s">
        <v>58</v>
      </c>
      <c r="J840" t="s">
        <v>64</v>
      </c>
      <c r="K840" t="s">
        <v>188</v>
      </c>
      <c r="L840" t="s">
        <v>1452</v>
      </c>
      <c r="M840" s="1">
        <v>13257.68</v>
      </c>
      <c r="N840">
        <v>2</v>
      </c>
      <c r="O840" s="2">
        <v>0.25</v>
      </c>
      <c r="P840" s="1">
        <v>652.41999999999996</v>
      </c>
      <c r="Q840" t="s">
        <v>82</v>
      </c>
      <c r="R840" t="s">
        <v>120</v>
      </c>
    </row>
    <row r="841" spans="1:18" x14ac:dyDescent="0.3">
      <c r="A841">
        <v>1840</v>
      </c>
      <c r="B841" s="3">
        <v>45886</v>
      </c>
      <c r="C841" s="3">
        <v>45891</v>
      </c>
      <c r="D841" t="s">
        <v>880</v>
      </c>
      <c r="E841" t="s">
        <v>1453</v>
      </c>
      <c r="F841" t="s">
        <v>20</v>
      </c>
      <c r="G841" t="s">
        <v>118</v>
      </c>
      <c r="H841" t="s">
        <v>118</v>
      </c>
      <c r="I841" t="s">
        <v>34</v>
      </c>
      <c r="J841" t="s">
        <v>35</v>
      </c>
      <c r="K841" t="s">
        <v>36</v>
      </c>
      <c r="L841" t="s">
        <v>1454</v>
      </c>
      <c r="M841" s="1">
        <v>26870.98</v>
      </c>
      <c r="N841">
        <v>2</v>
      </c>
      <c r="O841" s="2">
        <v>0</v>
      </c>
      <c r="P841" s="1">
        <v>4327.87</v>
      </c>
      <c r="Q841" t="s">
        <v>38</v>
      </c>
      <c r="R841" t="s">
        <v>120</v>
      </c>
    </row>
    <row r="842" spans="1:18" x14ac:dyDescent="0.3">
      <c r="A842">
        <v>1841</v>
      </c>
      <c r="B842" s="3">
        <v>45710</v>
      </c>
      <c r="C842" s="3">
        <v>45713</v>
      </c>
      <c r="D842" t="s">
        <v>342</v>
      </c>
      <c r="E842" t="s">
        <v>247</v>
      </c>
      <c r="F842" t="s">
        <v>31</v>
      </c>
      <c r="G842" t="s">
        <v>32</v>
      </c>
      <c r="H842" t="s">
        <v>33</v>
      </c>
      <c r="I842" t="s">
        <v>34</v>
      </c>
      <c r="J842" t="s">
        <v>35</v>
      </c>
      <c r="K842" t="s">
        <v>129</v>
      </c>
      <c r="L842" t="s">
        <v>1455</v>
      </c>
      <c r="M842" s="1">
        <v>59664.25</v>
      </c>
      <c r="N842">
        <v>2</v>
      </c>
      <c r="O842" s="2">
        <v>0.05</v>
      </c>
      <c r="P842" s="1">
        <v>7347.63</v>
      </c>
      <c r="Q842" t="s">
        <v>67</v>
      </c>
      <c r="R842" t="s">
        <v>53</v>
      </c>
    </row>
    <row r="843" spans="1:18" x14ac:dyDescent="0.3">
      <c r="A843">
        <v>1842</v>
      </c>
      <c r="B843" s="3">
        <v>45682</v>
      </c>
      <c r="C843" s="3">
        <v>45688</v>
      </c>
      <c r="D843" t="s">
        <v>408</v>
      </c>
      <c r="E843" t="s">
        <v>128</v>
      </c>
      <c r="F843" t="s">
        <v>31</v>
      </c>
      <c r="G843" t="s">
        <v>21</v>
      </c>
      <c r="H843" t="s">
        <v>22</v>
      </c>
      <c r="I843" t="s">
        <v>23</v>
      </c>
      <c r="J843" t="s">
        <v>24</v>
      </c>
      <c r="K843" t="s">
        <v>72</v>
      </c>
      <c r="L843" t="s">
        <v>1456</v>
      </c>
      <c r="M843" s="1">
        <v>46987.27</v>
      </c>
      <c r="N843">
        <v>3</v>
      </c>
      <c r="O843" s="2">
        <v>0</v>
      </c>
      <c r="P843" s="1">
        <v>10900.71</v>
      </c>
      <c r="Q843" t="s">
        <v>82</v>
      </c>
      <c r="R843" t="s">
        <v>53</v>
      </c>
    </row>
    <row r="844" spans="1:18" x14ac:dyDescent="0.3">
      <c r="A844">
        <v>1843</v>
      </c>
      <c r="B844" s="3">
        <v>45850</v>
      </c>
      <c r="C844" s="3">
        <v>45851</v>
      </c>
      <c r="D844" t="s">
        <v>54</v>
      </c>
      <c r="E844" t="s">
        <v>419</v>
      </c>
      <c r="F844" t="s">
        <v>31</v>
      </c>
      <c r="G844" t="s">
        <v>56</v>
      </c>
      <c r="H844" t="s">
        <v>57</v>
      </c>
      <c r="I844" t="s">
        <v>58</v>
      </c>
      <c r="J844" t="s">
        <v>35</v>
      </c>
      <c r="K844" t="s">
        <v>36</v>
      </c>
      <c r="L844" t="s">
        <v>1457</v>
      </c>
      <c r="M844" s="1">
        <v>41255.46</v>
      </c>
      <c r="N844">
        <v>7</v>
      </c>
      <c r="O844" s="2">
        <v>0</v>
      </c>
      <c r="P844" s="1">
        <v>4558.96</v>
      </c>
      <c r="Q844" t="s">
        <v>52</v>
      </c>
      <c r="R844" t="s">
        <v>39</v>
      </c>
    </row>
    <row r="845" spans="1:18" x14ac:dyDescent="0.3">
      <c r="A845">
        <v>1844</v>
      </c>
      <c r="B845" s="3">
        <v>45348</v>
      </c>
      <c r="C845" s="3">
        <v>45353</v>
      </c>
      <c r="D845" t="s">
        <v>458</v>
      </c>
      <c r="E845" t="s">
        <v>510</v>
      </c>
      <c r="F845" t="s">
        <v>20</v>
      </c>
      <c r="G845" t="s">
        <v>112</v>
      </c>
      <c r="H845" t="s">
        <v>113</v>
      </c>
      <c r="I845" t="s">
        <v>49</v>
      </c>
      <c r="J845" t="s">
        <v>64</v>
      </c>
      <c r="K845" t="s">
        <v>104</v>
      </c>
      <c r="L845" t="s">
        <v>1458</v>
      </c>
      <c r="M845" s="1">
        <v>83906.54</v>
      </c>
      <c r="N845">
        <v>1</v>
      </c>
      <c r="O845" s="2">
        <v>0.2</v>
      </c>
      <c r="P845" s="1">
        <v>15244.33</v>
      </c>
      <c r="Q845" t="s">
        <v>82</v>
      </c>
      <c r="R845" t="s">
        <v>39</v>
      </c>
    </row>
    <row r="846" spans="1:18" x14ac:dyDescent="0.3">
      <c r="A846">
        <v>1845</v>
      </c>
      <c r="B846" s="3">
        <v>45913</v>
      </c>
      <c r="C846" s="3">
        <v>45915</v>
      </c>
      <c r="D846" t="s">
        <v>570</v>
      </c>
      <c r="E846" t="s">
        <v>1242</v>
      </c>
      <c r="F846" t="s">
        <v>46</v>
      </c>
      <c r="G846" t="s">
        <v>112</v>
      </c>
      <c r="H846" t="s">
        <v>113</v>
      </c>
      <c r="I846" t="s">
        <v>49</v>
      </c>
      <c r="J846" t="s">
        <v>24</v>
      </c>
      <c r="K846" t="s">
        <v>224</v>
      </c>
      <c r="L846" t="s">
        <v>1459</v>
      </c>
      <c r="M846" s="1">
        <v>69202.66</v>
      </c>
      <c r="N846">
        <v>5</v>
      </c>
      <c r="O846" s="2">
        <v>0</v>
      </c>
      <c r="P846" s="1">
        <v>20269.73</v>
      </c>
      <c r="Q846" t="s">
        <v>115</v>
      </c>
      <c r="R846" t="s">
        <v>53</v>
      </c>
    </row>
    <row r="847" spans="1:18" x14ac:dyDescent="0.3">
      <c r="A847">
        <v>1846</v>
      </c>
      <c r="B847" s="3">
        <v>45844</v>
      </c>
      <c r="C847" s="3">
        <v>45847</v>
      </c>
      <c r="D847" t="s">
        <v>689</v>
      </c>
      <c r="E847" t="s">
        <v>922</v>
      </c>
      <c r="F847" t="s">
        <v>20</v>
      </c>
      <c r="G847" t="s">
        <v>32</v>
      </c>
      <c r="H847" t="s">
        <v>33</v>
      </c>
      <c r="I847" t="s">
        <v>34</v>
      </c>
      <c r="J847" t="s">
        <v>64</v>
      </c>
      <c r="K847" t="s">
        <v>80</v>
      </c>
      <c r="L847" t="s">
        <v>1460</v>
      </c>
      <c r="M847" s="1">
        <v>83167.55</v>
      </c>
      <c r="N847">
        <v>4</v>
      </c>
      <c r="O847" s="2">
        <v>0.1</v>
      </c>
      <c r="P847" s="1">
        <v>16765.82</v>
      </c>
      <c r="Q847" t="s">
        <v>52</v>
      </c>
      <c r="R847" t="s">
        <v>120</v>
      </c>
    </row>
    <row r="848" spans="1:18" x14ac:dyDescent="0.3">
      <c r="A848">
        <v>1847</v>
      </c>
      <c r="B848" s="3">
        <v>45388</v>
      </c>
      <c r="C848" s="3">
        <v>45393</v>
      </c>
      <c r="D848" t="s">
        <v>552</v>
      </c>
      <c r="E848" t="s">
        <v>1162</v>
      </c>
      <c r="F848" t="s">
        <v>20</v>
      </c>
      <c r="G848" t="s">
        <v>95</v>
      </c>
      <c r="H848" t="s">
        <v>22</v>
      </c>
      <c r="I848" t="s">
        <v>23</v>
      </c>
      <c r="J848" t="s">
        <v>64</v>
      </c>
      <c r="K848" t="s">
        <v>188</v>
      </c>
      <c r="L848" t="s">
        <v>1461</v>
      </c>
      <c r="M848" s="1">
        <v>59248.2</v>
      </c>
      <c r="N848">
        <v>6</v>
      </c>
      <c r="O848" s="2">
        <v>0.15</v>
      </c>
      <c r="P848" s="1">
        <v>5946.74</v>
      </c>
      <c r="Q848" t="s">
        <v>38</v>
      </c>
      <c r="R848" t="s">
        <v>39</v>
      </c>
    </row>
    <row r="849" spans="1:18" x14ac:dyDescent="0.3">
      <c r="A849">
        <v>1848</v>
      </c>
      <c r="B849" s="3">
        <v>45711</v>
      </c>
      <c r="C849" s="3">
        <v>45712</v>
      </c>
      <c r="D849" t="s">
        <v>412</v>
      </c>
      <c r="E849" t="s">
        <v>1462</v>
      </c>
      <c r="F849" t="s">
        <v>31</v>
      </c>
      <c r="G849" t="s">
        <v>47</v>
      </c>
      <c r="H849" t="s">
        <v>48</v>
      </c>
      <c r="I849" t="s">
        <v>49</v>
      </c>
      <c r="J849" t="s">
        <v>24</v>
      </c>
      <c r="K849" t="s">
        <v>25</v>
      </c>
      <c r="L849" t="s">
        <v>1463</v>
      </c>
      <c r="M849" s="1">
        <v>22496.240000000002</v>
      </c>
      <c r="N849">
        <v>6</v>
      </c>
      <c r="O849" s="2">
        <v>0.2</v>
      </c>
      <c r="P849" s="1">
        <v>1359.68</v>
      </c>
      <c r="Q849" t="s">
        <v>27</v>
      </c>
      <c r="R849" t="s">
        <v>53</v>
      </c>
    </row>
    <row r="850" spans="1:18" x14ac:dyDescent="0.3">
      <c r="A850">
        <v>1849</v>
      </c>
      <c r="B850" s="3">
        <v>45750</v>
      </c>
      <c r="C850" s="3">
        <v>45756</v>
      </c>
      <c r="D850" t="s">
        <v>680</v>
      </c>
      <c r="E850" t="s">
        <v>868</v>
      </c>
      <c r="F850" t="s">
        <v>31</v>
      </c>
      <c r="G850" t="s">
        <v>102</v>
      </c>
      <c r="H850" t="s">
        <v>103</v>
      </c>
      <c r="I850" t="s">
        <v>58</v>
      </c>
      <c r="J850" t="s">
        <v>35</v>
      </c>
      <c r="K850" t="s">
        <v>129</v>
      </c>
      <c r="L850" t="s">
        <v>1464</v>
      </c>
      <c r="M850" s="1">
        <v>32773.199999999997</v>
      </c>
      <c r="N850">
        <v>4</v>
      </c>
      <c r="O850" s="2">
        <v>0.2</v>
      </c>
      <c r="P850" s="1">
        <v>3292.92</v>
      </c>
      <c r="Q850" t="s">
        <v>61</v>
      </c>
      <c r="R850" t="s">
        <v>28</v>
      </c>
    </row>
    <row r="851" spans="1:18" x14ac:dyDescent="0.3">
      <c r="A851">
        <v>1850</v>
      </c>
      <c r="B851" s="3">
        <v>45343</v>
      </c>
      <c r="C851" s="3">
        <v>45346</v>
      </c>
      <c r="D851" t="s">
        <v>971</v>
      </c>
      <c r="E851" t="s">
        <v>441</v>
      </c>
      <c r="F851" t="s">
        <v>46</v>
      </c>
      <c r="G851" t="s">
        <v>118</v>
      </c>
      <c r="H851" t="s">
        <v>118</v>
      </c>
      <c r="I851" t="s">
        <v>34</v>
      </c>
      <c r="J851" t="s">
        <v>64</v>
      </c>
      <c r="K851" t="s">
        <v>157</v>
      </c>
      <c r="L851" t="s">
        <v>1465</v>
      </c>
      <c r="M851" s="1">
        <v>62116.29</v>
      </c>
      <c r="N851">
        <v>8</v>
      </c>
      <c r="O851" s="2">
        <v>0.15</v>
      </c>
      <c r="P851" s="1">
        <v>6010.95</v>
      </c>
      <c r="Q851" t="s">
        <v>74</v>
      </c>
      <c r="R851" t="s">
        <v>28</v>
      </c>
    </row>
    <row r="852" spans="1:18" x14ac:dyDescent="0.3">
      <c r="A852">
        <v>1851</v>
      </c>
      <c r="B852" s="3">
        <v>45341</v>
      </c>
      <c r="C852" s="3">
        <v>45346</v>
      </c>
      <c r="D852" t="s">
        <v>1157</v>
      </c>
      <c r="E852" t="s">
        <v>454</v>
      </c>
      <c r="F852" t="s">
        <v>31</v>
      </c>
      <c r="G852" t="s">
        <v>95</v>
      </c>
      <c r="H852" t="s">
        <v>22</v>
      </c>
      <c r="I852" t="s">
        <v>23</v>
      </c>
      <c r="J852" t="s">
        <v>64</v>
      </c>
      <c r="K852" t="s">
        <v>80</v>
      </c>
      <c r="L852" t="s">
        <v>1466</v>
      </c>
      <c r="M852" s="1">
        <v>43490.21</v>
      </c>
      <c r="N852">
        <v>1</v>
      </c>
      <c r="O852" s="2">
        <v>0.15</v>
      </c>
      <c r="P852" s="1">
        <v>1684.44</v>
      </c>
      <c r="Q852" t="s">
        <v>52</v>
      </c>
      <c r="R852" t="s">
        <v>120</v>
      </c>
    </row>
    <row r="853" spans="1:18" x14ac:dyDescent="0.3">
      <c r="A853">
        <v>1852</v>
      </c>
      <c r="B853" s="3">
        <v>45293</v>
      </c>
      <c r="C853" s="3">
        <v>45295</v>
      </c>
      <c r="D853" t="s">
        <v>246</v>
      </c>
      <c r="E853" t="s">
        <v>1242</v>
      </c>
      <c r="F853" t="s">
        <v>46</v>
      </c>
      <c r="G853" t="s">
        <v>107</v>
      </c>
      <c r="H853" t="s">
        <v>108</v>
      </c>
      <c r="I853" t="s">
        <v>34</v>
      </c>
      <c r="J853" t="s">
        <v>24</v>
      </c>
      <c r="K853" t="s">
        <v>72</v>
      </c>
      <c r="L853" t="s">
        <v>1467</v>
      </c>
      <c r="M853" s="1">
        <v>15058.92</v>
      </c>
      <c r="N853">
        <v>7</v>
      </c>
      <c r="O853" s="2">
        <v>0.25</v>
      </c>
      <c r="P853" s="1">
        <v>-201.57</v>
      </c>
      <c r="Q853" t="s">
        <v>67</v>
      </c>
      <c r="R853" t="s">
        <v>39</v>
      </c>
    </row>
    <row r="854" spans="1:18" x14ac:dyDescent="0.3">
      <c r="A854">
        <v>1853</v>
      </c>
      <c r="B854" s="3">
        <v>45506</v>
      </c>
      <c r="C854" s="3">
        <v>45512</v>
      </c>
      <c r="D854" t="s">
        <v>193</v>
      </c>
      <c r="E854" t="s">
        <v>202</v>
      </c>
      <c r="F854" t="s">
        <v>31</v>
      </c>
      <c r="G854" t="s">
        <v>70</v>
      </c>
      <c r="H854" t="s">
        <v>71</v>
      </c>
      <c r="I854" t="s">
        <v>58</v>
      </c>
      <c r="J854" t="s">
        <v>24</v>
      </c>
      <c r="K854" t="s">
        <v>72</v>
      </c>
      <c r="L854" t="s">
        <v>1468</v>
      </c>
      <c r="M854" s="1">
        <v>87210.33</v>
      </c>
      <c r="N854">
        <v>8</v>
      </c>
      <c r="O854" s="2">
        <v>0.3</v>
      </c>
      <c r="P854" s="1">
        <v>807.52</v>
      </c>
      <c r="Q854" t="s">
        <v>38</v>
      </c>
      <c r="R854" t="s">
        <v>53</v>
      </c>
    </row>
    <row r="855" spans="1:18" x14ac:dyDescent="0.3">
      <c r="A855">
        <v>1854</v>
      </c>
      <c r="B855" s="3">
        <v>46009</v>
      </c>
      <c r="C855" s="3">
        <v>46014</v>
      </c>
      <c r="D855" t="s">
        <v>226</v>
      </c>
      <c r="E855" t="s">
        <v>218</v>
      </c>
      <c r="F855" t="s">
        <v>46</v>
      </c>
      <c r="G855" t="s">
        <v>112</v>
      </c>
      <c r="H855" t="s">
        <v>113</v>
      </c>
      <c r="I855" t="s">
        <v>49</v>
      </c>
      <c r="J855" t="s">
        <v>64</v>
      </c>
      <c r="K855" t="s">
        <v>65</v>
      </c>
      <c r="L855" t="s">
        <v>1469</v>
      </c>
      <c r="M855" s="1">
        <v>68189.09</v>
      </c>
      <c r="N855">
        <v>7</v>
      </c>
      <c r="O855" s="2">
        <v>0.15</v>
      </c>
      <c r="P855" s="1">
        <v>6691.9</v>
      </c>
      <c r="Q855" t="s">
        <v>82</v>
      </c>
      <c r="R855" t="s">
        <v>53</v>
      </c>
    </row>
    <row r="856" spans="1:18" x14ac:dyDescent="0.3">
      <c r="A856">
        <v>1855</v>
      </c>
      <c r="B856" s="3">
        <v>45528</v>
      </c>
      <c r="C856" s="3">
        <v>45534</v>
      </c>
      <c r="D856" t="s">
        <v>1392</v>
      </c>
      <c r="E856" t="s">
        <v>165</v>
      </c>
      <c r="F856" t="s">
        <v>20</v>
      </c>
      <c r="G856" t="s">
        <v>95</v>
      </c>
      <c r="H856" t="s">
        <v>22</v>
      </c>
      <c r="I856" t="s">
        <v>23</v>
      </c>
      <c r="J856" t="s">
        <v>64</v>
      </c>
      <c r="K856" t="s">
        <v>65</v>
      </c>
      <c r="L856" t="s">
        <v>1430</v>
      </c>
      <c r="M856" s="1">
        <v>4482.92</v>
      </c>
      <c r="N856">
        <v>6</v>
      </c>
      <c r="O856" s="2">
        <v>0</v>
      </c>
      <c r="P856" s="1">
        <v>867.43</v>
      </c>
      <c r="Q856" t="s">
        <v>74</v>
      </c>
      <c r="R856" t="s">
        <v>120</v>
      </c>
    </row>
    <row r="857" spans="1:18" x14ac:dyDescent="0.3">
      <c r="A857">
        <v>1856</v>
      </c>
      <c r="B857" s="3">
        <v>45479</v>
      </c>
      <c r="C857" s="3">
        <v>45484</v>
      </c>
      <c r="D857" t="s">
        <v>1394</v>
      </c>
      <c r="E857" t="s">
        <v>94</v>
      </c>
      <c r="F857" t="s">
        <v>46</v>
      </c>
      <c r="G857" t="s">
        <v>85</v>
      </c>
      <c r="H857" t="s">
        <v>86</v>
      </c>
      <c r="I857" t="s">
        <v>49</v>
      </c>
      <c r="J857" t="s">
        <v>24</v>
      </c>
      <c r="K857" t="s">
        <v>224</v>
      </c>
      <c r="L857" t="s">
        <v>1470</v>
      </c>
      <c r="M857" s="1">
        <v>78129.47</v>
      </c>
      <c r="N857">
        <v>2</v>
      </c>
      <c r="O857" s="2">
        <v>0.3</v>
      </c>
      <c r="P857" s="1">
        <v>3199.42</v>
      </c>
      <c r="Q857" t="s">
        <v>74</v>
      </c>
      <c r="R857" t="s">
        <v>53</v>
      </c>
    </row>
    <row r="858" spans="1:18" x14ac:dyDescent="0.3">
      <c r="A858">
        <v>1857</v>
      </c>
      <c r="B858" s="3">
        <v>45732</v>
      </c>
      <c r="C858" s="3">
        <v>45736</v>
      </c>
      <c r="D858" t="s">
        <v>609</v>
      </c>
      <c r="E858" t="s">
        <v>697</v>
      </c>
      <c r="F858" t="s">
        <v>20</v>
      </c>
      <c r="G858" t="s">
        <v>56</v>
      </c>
      <c r="H858" t="s">
        <v>57</v>
      </c>
      <c r="I858" t="s">
        <v>58</v>
      </c>
      <c r="J858" t="s">
        <v>35</v>
      </c>
      <c r="K858" t="s">
        <v>42</v>
      </c>
      <c r="L858" t="s">
        <v>1471</v>
      </c>
      <c r="M858" s="1">
        <v>53860.56</v>
      </c>
      <c r="N858">
        <v>9</v>
      </c>
      <c r="O858" s="2">
        <v>0.25</v>
      </c>
      <c r="P858" s="1">
        <v>8999.43</v>
      </c>
      <c r="Q858" t="s">
        <v>61</v>
      </c>
      <c r="R858" t="s">
        <v>39</v>
      </c>
    </row>
    <row r="859" spans="1:18" x14ac:dyDescent="0.3">
      <c r="A859">
        <v>1858</v>
      </c>
      <c r="B859" s="3">
        <v>45948</v>
      </c>
      <c r="C859" s="3">
        <v>45952</v>
      </c>
      <c r="D859" t="s">
        <v>933</v>
      </c>
      <c r="E859" t="s">
        <v>805</v>
      </c>
      <c r="F859" t="s">
        <v>31</v>
      </c>
      <c r="G859" t="s">
        <v>112</v>
      </c>
      <c r="H859" t="s">
        <v>113</v>
      </c>
      <c r="I859" t="s">
        <v>49</v>
      </c>
      <c r="J859" t="s">
        <v>24</v>
      </c>
      <c r="K859" t="s">
        <v>25</v>
      </c>
      <c r="L859" t="s">
        <v>1472</v>
      </c>
      <c r="M859" s="1">
        <v>1709.13</v>
      </c>
      <c r="N859">
        <v>6</v>
      </c>
      <c r="O859" s="2">
        <v>0.05</v>
      </c>
      <c r="P859" s="1">
        <v>154.12</v>
      </c>
      <c r="Q859" t="s">
        <v>115</v>
      </c>
      <c r="R859" t="s">
        <v>53</v>
      </c>
    </row>
    <row r="860" spans="1:18" x14ac:dyDescent="0.3">
      <c r="A860">
        <v>1859</v>
      </c>
      <c r="B860" s="3">
        <v>45421</v>
      </c>
      <c r="C860" s="3">
        <v>45423</v>
      </c>
      <c r="D860" t="s">
        <v>941</v>
      </c>
      <c r="E860" t="s">
        <v>331</v>
      </c>
      <c r="F860" t="s">
        <v>31</v>
      </c>
      <c r="G860" t="s">
        <v>70</v>
      </c>
      <c r="H860" t="s">
        <v>71</v>
      </c>
      <c r="I860" t="s">
        <v>58</v>
      </c>
      <c r="J860" t="s">
        <v>64</v>
      </c>
      <c r="K860" t="s">
        <v>157</v>
      </c>
      <c r="L860" t="s">
        <v>1473</v>
      </c>
      <c r="M860" s="1">
        <v>30264.7</v>
      </c>
      <c r="N860">
        <v>3</v>
      </c>
      <c r="O860" s="2">
        <v>0</v>
      </c>
      <c r="P860" s="1">
        <v>7908.79</v>
      </c>
      <c r="Q860" t="s">
        <v>52</v>
      </c>
      <c r="R860" t="s">
        <v>28</v>
      </c>
    </row>
    <row r="861" spans="1:18" x14ac:dyDescent="0.3">
      <c r="A861">
        <v>1860</v>
      </c>
      <c r="B861" s="3">
        <v>45380</v>
      </c>
      <c r="C861" s="3">
        <v>45386</v>
      </c>
      <c r="D861" t="s">
        <v>826</v>
      </c>
      <c r="E861" t="s">
        <v>132</v>
      </c>
      <c r="F861" t="s">
        <v>20</v>
      </c>
      <c r="G861" t="s">
        <v>102</v>
      </c>
      <c r="H861" t="s">
        <v>103</v>
      </c>
      <c r="I861" t="s">
        <v>58</v>
      </c>
      <c r="J861" t="s">
        <v>64</v>
      </c>
      <c r="K861" t="s">
        <v>104</v>
      </c>
      <c r="L861" t="s">
        <v>1474</v>
      </c>
      <c r="M861" s="1">
        <v>2351.94</v>
      </c>
      <c r="N861">
        <v>4</v>
      </c>
      <c r="O861" s="2">
        <v>0.2</v>
      </c>
      <c r="P861" s="1">
        <v>34.33</v>
      </c>
      <c r="Q861" t="s">
        <v>61</v>
      </c>
      <c r="R861" t="s">
        <v>120</v>
      </c>
    </row>
    <row r="862" spans="1:18" x14ac:dyDescent="0.3">
      <c r="A862">
        <v>1861</v>
      </c>
      <c r="B862" s="3">
        <v>45324</v>
      </c>
      <c r="C862" s="3">
        <v>45329</v>
      </c>
      <c r="D862" t="s">
        <v>121</v>
      </c>
      <c r="E862" t="s">
        <v>306</v>
      </c>
      <c r="F862" t="s">
        <v>31</v>
      </c>
      <c r="G862" t="s">
        <v>102</v>
      </c>
      <c r="H862" t="s">
        <v>103</v>
      </c>
      <c r="I862" t="s">
        <v>58</v>
      </c>
      <c r="J862" t="s">
        <v>24</v>
      </c>
      <c r="K862" t="s">
        <v>212</v>
      </c>
      <c r="L862" t="s">
        <v>1475</v>
      </c>
      <c r="M862" s="1">
        <v>39669.69</v>
      </c>
      <c r="N862">
        <v>6</v>
      </c>
      <c r="O862" s="2">
        <v>0.15</v>
      </c>
      <c r="P862" s="1">
        <v>8893.98</v>
      </c>
      <c r="Q862" t="s">
        <v>82</v>
      </c>
      <c r="R862" t="s">
        <v>28</v>
      </c>
    </row>
    <row r="863" spans="1:18" x14ac:dyDescent="0.3">
      <c r="A863">
        <v>1862</v>
      </c>
      <c r="B863" s="3">
        <v>45738</v>
      </c>
      <c r="C863" s="3">
        <v>45740</v>
      </c>
      <c r="D863" t="s">
        <v>1476</v>
      </c>
      <c r="E863" t="s">
        <v>419</v>
      </c>
      <c r="F863" t="s">
        <v>46</v>
      </c>
      <c r="G863" t="s">
        <v>112</v>
      </c>
      <c r="H863" t="s">
        <v>113</v>
      </c>
      <c r="I863" t="s">
        <v>49</v>
      </c>
      <c r="J863" t="s">
        <v>24</v>
      </c>
      <c r="K863" t="s">
        <v>50</v>
      </c>
      <c r="L863" t="s">
        <v>1477</v>
      </c>
      <c r="M863" s="1">
        <v>41908.07</v>
      </c>
      <c r="N863">
        <v>7</v>
      </c>
      <c r="O863" s="2">
        <v>0.3</v>
      </c>
      <c r="P863" s="1">
        <v>1181.6600000000001</v>
      </c>
      <c r="Q863" t="s">
        <v>67</v>
      </c>
      <c r="R863" t="s">
        <v>28</v>
      </c>
    </row>
    <row r="864" spans="1:18" x14ac:dyDescent="0.3">
      <c r="A864">
        <v>1863</v>
      </c>
      <c r="B864" s="3">
        <v>45807</v>
      </c>
      <c r="C864" s="3">
        <v>45809</v>
      </c>
      <c r="D864" t="s">
        <v>1005</v>
      </c>
      <c r="E864" t="s">
        <v>456</v>
      </c>
      <c r="F864" t="s">
        <v>20</v>
      </c>
      <c r="G864" t="s">
        <v>47</v>
      </c>
      <c r="H864" t="s">
        <v>48</v>
      </c>
      <c r="I864" t="s">
        <v>49</v>
      </c>
      <c r="J864" t="s">
        <v>24</v>
      </c>
      <c r="K864" t="s">
        <v>72</v>
      </c>
      <c r="L864" t="s">
        <v>1478</v>
      </c>
      <c r="M864" s="1">
        <v>12027.15</v>
      </c>
      <c r="N864">
        <v>9</v>
      </c>
      <c r="O864" s="2">
        <v>0.15</v>
      </c>
      <c r="P864" s="1">
        <v>2522.5300000000002</v>
      </c>
      <c r="Q864" t="s">
        <v>82</v>
      </c>
      <c r="R864" t="s">
        <v>39</v>
      </c>
    </row>
    <row r="865" spans="1:18" x14ac:dyDescent="0.3">
      <c r="A865">
        <v>1864</v>
      </c>
      <c r="B865" s="3">
        <v>45730</v>
      </c>
      <c r="C865" s="3">
        <v>45731</v>
      </c>
      <c r="D865" t="s">
        <v>1061</v>
      </c>
      <c r="E865" t="s">
        <v>742</v>
      </c>
      <c r="F865" t="s">
        <v>31</v>
      </c>
      <c r="G865" t="s">
        <v>47</v>
      </c>
      <c r="H865" t="s">
        <v>48</v>
      </c>
      <c r="I865" t="s">
        <v>49</v>
      </c>
      <c r="J865" t="s">
        <v>64</v>
      </c>
      <c r="K865" t="s">
        <v>65</v>
      </c>
      <c r="L865" t="s">
        <v>1479</v>
      </c>
      <c r="M865" s="1">
        <v>58328.97</v>
      </c>
      <c r="N865">
        <v>9</v>
      </c>
      <c r="O865" s="2">
        <v>0</v>
      </c>
      <c r="P865" s="1">
        <v>7075.67</v>
      </c>
      <c r="Q865" t="s">
        <v>82</v>
      </c>
      <c r="R865" t="s">
        <v>39</v>
      </c>
    </row>
    <row r="866" spans="1:18" x14ac:dyDescent="0.3">
      <c r="A866">
        <v>1865</v>
      </c>
      <c r="B866" s="3">
        <v>45412</v>
      </c>
      <c r="C866" s="3">
        <v>45418</v>
      </c>
      <c r="D866" t="s">
        <v>787</v>
      </c>
      <c r="E866" t="s">
        <v>922</v>
      </c>
      <c r="F866" t="s">
        <v>46</v>
      </c>
      <c r="G866" t="s">
        <v>112</v>
      </c>
      <c r="H866" t="s">
        <v>113</v>
      </c>
      <c r="I866" t="s">
        <v>49</v>
      </c>
      <c r="J866" t="s">
        <v>64</v>
      </c>
      <c r="K866" t="s">
        <v>157</v>
      </c>
      <c r="L866" t="s">
        <v>1480</v>
      </c>
      <c r="M866" s="1">
        <v>67043.78</v>
      </c>
      <c r="N866">
        <v>5</v>
      </c>
      <c r="O866" s="2">
        <v>0.25</v>
      </c>
      <c r="P866" s="1">
        <v>3490.73</v>
      </c>
      <c r="Q866" t="s">
        <v>52</v>
      </c>
      <c r="R866" t="s">
        <v>28</v>
      </c>
    </row>
    <row r="867" spans="1:18" x14ac:dyDescent="0.3">
      <c r="A867">
        <v>1866</v>
      </c>
      <c r="B867" s="3">
        <v>45531</v>
      </c>
      <c r="C867" s="3">
        <v>45536</v>
      </c>
      <c r="D867" t="s">
        <v>602</v>
      </c>
      <c r="E867" t="s">
        <v>1401</v>
      </c>
      <c r="F867" t="s">
        <v>20</v>
      </c>
      <c r="G867" t="s">
        <v>85</v>
      </c>
      <c r="H867" t="s">
        <v>86</v>
      </c>
      <c r="I867" t="s">
        <v>49</v>
      </c>
      <c r="J867" t="s">
        <v>24</v>
      </c>
      <c r="K867" t="s">
        <v>25</v>
      </c>
      <c r="L867" t="s">
        <v>1290</v>
      </c>
      <c r="M867" s="1">
        <v>8711.26</v>
      </c>
      <c r="N867">
        <v>7</v>
      </c>
      <c r="O867" s="2">
        <v>0.15</v>
      </c>
      <c r="P867" s="1">
        <v>1197.3599999999999</v>
      </c>
      <c r="Q867" t="s">
        <v>115</v>
      </c>
      <c r="R867" t="s">
        <v>53</v>
      </c>
    </row>
    <row r="868" spans="1:18" x14ac:dyDescent="0.3">
      <c r="A868">
        <v>1867</v>
      </c>
      <c r="B868" s="3">
        <v>46017</v>
      </c>
      <c r="C868" s="3">
        <v>46022</v>
      </c>
      <c r="D868" t="s">
        <v>958</v>
      </c>
      <c r="E868" t="s">
        <v>1170</v>
      </c>
      <c r="F868" t="s">
        <v>31</v>
      </c>
      <c r="G868" t="s">
        <v>21</v>
      </c>
      <c r="H868" t="s">
        <v>22</v>
      </c>
      <c r="I868" t="s">
        <v>23</v>
      </c>
      <c r="J868" t="s">
        <v>35</v>
      </c>
      <c r="K868" t="s">
        <v>42</v>
      </c>
      <c r="L868" t="s">
        <v>1481</v>
      </c>
      <c r="M868" s="1">
        <v>30807.55</v>
      </c>
      <c r="N868">
        <v>10</v>
      </c>
      <c r="O868" s="2">
        <v>0.05</v>
      </c>
      <c r="P868" s="1">
        <v>4460.4799999999996</v>
      </c>
      <c r="Q868" t="s">
        <v>67</v>
      </c>
      <c r="R868" t="s">
        <v>28</v>
      </c>
    </row>
    <row r="869" spans="1:18" x14ac:dyDescent="0.3">
      <c r="A869">
        <v>1868</v>
      </c>
      <c r="B869" s="3">
        <v>45628</v>
      </c>
      <c r="C869" s="3">
        <v>45630</v>
      </c>
      <c r="D869" t="s">
        <v>882</v>
      </c>
      <c r="E869" t="s">
        <v>525</v>
      </c>
      <c r="F869" t="s">
        <v>31</v>
      </c>
      <c r="G869" t="s">
        <v>107</v>
      </c>
      <c r="H869" t="s">
        <v>108</v>
      </c>
      <c r="I869" t="s">
        <v>34</v>
      </c>
      <c r="J869" t="s">
        <v>64</v>
      </c>
      <c r="K869" t="s">
        <v>104</v>
      </c>
      <c r="L869" t="s">
        <v>1482</v>
      </c>
      <c r="M869" s="1">
        <v>53273.42</v>
      </c>
      <c r="N869">
        <v>7</v>
      </c>
      <c r="O869" s="2">
        <v>0.05</v>
      </c>
      <c r="P869" s="1">
        <v>4977.7299999999996</v>
      </c>
      <c r="Q869" t="s">
        <v>61</v>
      </c>
      <c r="R869" t="s">
        <v>39</v>
      </c>
    </row>
    <row r="870" spans="1:18" x14ac:dyDescent="0.3">
      <c r="A870">
        <v>1869</v>
      </c>
      <c r="B870" s="3">
        <v>45755</v>
      </c>
      <c r="C870" s="3">
        <v>45759</v>
      </c>
      <c r="D870" t="s">
        <v>342</v>
      </c>
      <c r="E870" t="s">
        <v>335</v>
      </c>
      <c r="F870" t="s">
        <v>31</v>
      </c>
      <c r="G870" t="s">
        <v>56</v>
      </c>
      <c r="H870" t="s">
        <v>57</v>
      </c>
      <c r="I870" t="s">
        <v>58</v>
      </c>
      <c r="J870" t="s">
        <v>35</v>
      </c>
      <c r="K870" t="s">
        <v>59</v>
      </c>
      <c r="L870" t="s">
        <v>1483</v>
      </c>
      <c r="M870" s="1">
        <v>36758.089999999997</v>
      </c>
      <c r="N870">
        <v>8</v>
      </c>
      <c r="O870" s="2">
        <v>0.15</v>
      </c>
      <c r="P870" s="1">
        <v>5426.65</v>
      </c>
      <c r="Q870" t="s">
        <v>74</v>
      </c>
      <c r="R870" t="s">
        <v>53</v>
      </c>
    </row>
    <row r="871" spans="1:18" x14ac:dyDescent="0.3">
      <c r="A871">
        <v>1870</v>
      </c>
      <c r="B871" s="3">
        <v>45500</v>
      </c>
      <c r="C871" s="3">
        <v>45505</v>
      </c>
      <c r="D871" t="s">
        <v>1199</v>
      </c>
      <c r="E871" t="s">
        <v>757</v>
      </c>
      <c r="F871" t="s">
        <v>31</v>
      </c>
      <c r="G871" t="s">
        <v>112</v>
      </c>
      <c r="H871" t="s">
        <v>113</v>
      </c>
      <c r="I871" t="s">
        <v>49</v>
      </c>
      <c r="J871" t="s">
        <v>24</v>
      </c>
      <c r="K871" t="s">
        <v>212</v>
      </c>
      <c r="L871" t="s">
        <v>1351</v>
      </c>
      <c r="M871" s="1">
        <v>45992.98</v>
      </c>
      <c r="N871">
        <v>9</v>
      </c>
      <c r="O871" s="2">
        <v>0.25</v>
      </c>
      <c r="P871" s="1">
        <v>7618.89</v>
      </c>
      <c r="Q871" t="s">
        <v>115</v>
      </c>
      <c r="R871" t="s">
        <v>39</v>
      </c>
    </row>
    <row r="872" spans="1:18" x14ac:dyDescent="0.3">
      <c r="A872">
        <v>1871</v>
      </c>
      <c r="B872" s="3">
        <v>45552</v>
      </c>
      <c r="C872" s="3">
        <v>45556</v>
      </c>
      <c r="D872" t="s">
        <v>1182</v>
      </c>
      <c r="E872" t="s">
        <v>662</v>
      </c>
      <c r="F872" t="s">
        <v>31</v>
      </c>
      <c r="G872" t="s">
        <v>112</v>
      </c>
      <c r="H872" t="s">
        <v>113</v>
      </c>
      <c r="I872" t="s">
        <v>49</v>
      </c>
      <c r="J872" t="s">
        <v>24</v>
      </c>
      <c r="K872" t="s">
        <v>224</v>
      </c>
      <c r="L872" t="s">
        <v>1484</v>
      </c>
      <c r="M872" s="1">
        <v>8869.9</v>
      </c>
      <c r="N872">
        <v>8</v>
      </c>
      <c r="O872" s="2">
        <v>0.1</v>
      </c>
      <c r="P872" s="1">
        <v>803.86</v>
      </c>
      <c r="Q872" t="s">
        <v>82</v>
      </c>
      <c r="R872" t="s">
        <v>120</v>
      </c>
    </row>
    <row r="873" spans="1:18" x14ac:dyDescent="0.3">
      <c r="A873">
        <v>1872</v>
      </c>
      <c r="B873" s="3">
        <v>45773</v>
      </c>
      <c r="C873" s="3">
        <v>45776</v>
      </c>
      <c r="D873" t="s">
        <v>246</v>
      </c>
      <c r="E873" t="s">
        <v>566</v>
      </c>
      <c r="F873" t="s">
        <v>46</v>
      </c>
      <c r="G873" t="s">
        <v>118</v>
      </c>
      <c r="H873" t="s">
        <v>118</v>
      </c>
      <c r="I873" t="s">
        <v>34</v>
      </c>
      <c r="J873" t="s">
        <v>35</v>
      </c>
      <c r="K873" t="s">
        <v>59</v>
      </c>
      <c r="L873" t="s">
        <v>1485</v>
      </c>
      <c r="M873" s="1">
        <v>2830.51</v>
      </c>
      <c r="N873">
        <v>9</v>
      </c>
      <c r="O873" s="2">
        <v>0.3</v>
      </c>
      <c r="P873" s="1">
        <v>376.73</v>
      </c>
      <c r="Q873" t="s">
        <v>82</v>
      </c>
      <c r="R873" t="s">
        <v>120</v>
      </c>
    </row>
    <row r="874" spans="1:18" x14ac:dyDescent="0.3">
      <c r="A874">
        <v>1873</v>
      </c>
      <c r="B874" s="3">
        <v>45864</v>
      </c>
      <c r="C874" s="3">
        <v>45870</v>
      </c>
      <c r="D874" t="s">
        <v>240</v>
      </c>
      <c r="E874" t="s">
        <v>959</v>
      </c>
      <c r="F874" t="s">
        <v>31</v>
      </c>
      <c r="G874" t="s">
        <v>102</v>
      </c>
      <c r="H874" t="s">
        <v>103</v>
      </c>
      <c r="I874" t="s">
        <v>58</v>
      </c>
      <c r="J874" t="s">
        <v>64</v>
      </c>
      <c r="K874" t="s">
        <v>157</v>
      </c>
      <c r="L874" t="s">
        <v>1486</v>
      </c>
      <c r="M874" s="1">
        <v>53455.92</v>
      </c>
      <c r="N874">
        <v>9</v>
      </c>
      <c r="O874" s="2">
        <v>0</v>
      </c>
      <c r="P874" s="1">
        <v>10916.32</v>
      </c>
      <c r="Q874" t="s">
        <v>61</v>
      </c>
      <c r="R874" t="s">
        <v>28</v>
      </c>
    </row>
    <row r="875" spans="1:18" x14ac:dyDescent="0.3">
      <c r="A875">
        <v>1874</v>
      </c>
      <c r="B875" s="3">
        <v>45861</v>
      </c>
      <c r="C875" s="3">
        <v>45866</v>
      </c>
      <c r="D875" t="s">
        <v>818</v>
      </c>
      <c r="E875" t="s">
        <v>194</v>
      </c>
      <c r="F875" t="s">
        <v>20</v>
      </c>
      <c r="G875" t="s">
        <v>21</v>
      </c>
      <c r="H875" t="s">
        <v>22</v>
      </c>
      <c r="I875" t="s">
        <v>23</v>
      </c>
      <c r="J875" t="s">
        <v>24</v>
      </c>
      <c r="K875" t="s">
        <v>50</v>
      </c>
      <c r="L875" t="s">
        <v>1487</v>
      </c>
      <c r="M875" s="1">
        <v>6055.64</v>
      </c>
      <c r="N875">
        <v>3</v>
      </c>
      <c r="O875" s="2">
        <v>0</v>
      </c>
      <c r="P875" s="1">
        <v>1205.67</v>
      </c>
      <c r="Q875" t="s">
        <v>27</v>
      </c>
      <c r="R875" t="s">
        <v>28</v>
      </c>
    </row>
    <row r="876" spans="1:18" x14ac:dyDescent="0.3">
      <c r="A876">
        <v>1875</v>
      </c>
      <c r="B876" s="3">
        <v>45434</v>
      </c>
      <c r="C876" s="3">
        <v>45438</v>
      </c>
      <c r="D876" t="s">
        <v>1488</v>
      </c>
      <c r="E876" t="s">
        <v>990</v>
      </c>
      <c r="F876" t="s">
        <v>46</v>
      </c>
      <c r="G876" t="s">
        <v>70</v>
      </c>
      <c r="H876" t="s">
        <v>71</v>
      </c>
      <c r="I876" t="s">
        <v>58</v>
      </c>
      <c r="J876" t="s">
        <v>24</v>
      </c>
      <c r="K876" t="s">
        <v>25</v>
      </c>
      <c r="L876" t="s">
        <v>413</v>
      </c>
      <c r="M876" s="1">
        <v>8305.9699999999993</v>
      </c>
      <c r="N876">
        <v>6</v>
      </c>
      <c r="O876" s="2">
        <v>0.1</v>
      </c>
      <c r="P876" s="1">
        <v>1992.27</v>
      </c>
      <c r="Q876" t="s">
        <v>27</v>
      </c>
      <c r="R876" t="s">
        <v>28</v>
      </c>
    </row>
    <row r="877" spans="1:18" x14ac:dyDescent="0.3">
      <c r="A877">
        <v>1876</v>
      </c>
      <c r="B877" s="3">
        <v>45919</v>
      </c>
      <c r="C877" s="3">
        <v>45924</v>
      </c>
      <c r="D877" t="s">
        <v>1059</v>
      </c>
      <c r="E877" t="s">
        <v>600</v>
      </c>
      <c r="F877" t="s">
        <v>31</v>
      </c>
      <c r="G877" t="s">
        <v>47</v>
      </c>
      <c r="H877" t="s">
        <v>48</v>
      </c>
      <c r="I877" t="s">
        <v>49</v>
      </c>
      <c r="J877" t="s">
        <v>24</v>
      </c>
      <c r="K877" t="s">
        <v>25</v>
      </c>
      <c r="L877" t="s">
        <v>1489</v>
      </c>
      <c r="M877" s="1">
        <v>80208.67</v>
      </c>
      <c r="N877">
        <v>6</v>
      </c>
      <c r="O877" s="2">
        <v>0.3</v>
      </c>
      <c r="P877" s="1">
        <v>13903.83</v>
      </c>
      <c r="Q877" t="s">
        <v>82</v>
      </c>
      <c r="R877" t="s">
        <v>53</v>
      </c>
    </row>
    <row r="878" spans="1:18" x14ac:dyDescent="0.3">
      <c r="A878">
        <v>1877</v>
      </c>
      <c r="B878" s="3">
        <v>45652</v>
      </c>
      <c r="C878" s="3">
        <v>45654</v>
      </c>
      <c r="D878" t="s">
        <v>829</v>
      </c>
      <c r="E878" t="s">
        <v>1036</v>
      </c>
      <c r="F878" t="s">
        <v>20</v>
      </c>
      <c r="G878" t="s">
        <v>90</v>
      </c>
      <c r="H878" t="s">
        <v>91</v>
      </c>
      <c r="I878" t="s">
        <v>23</v>
      </c>
      <c r="J878" t="s">
        <v>24</v>
      </c>
      <c r="K878" t="s">
        <v>224</v>
      </c>
      <c r="L878" t="s">
        <v>1490</v>
      </c>
      <c r="M878" s="1">
        <v>8115.17</v>
      </c>
      <c r="N878">
        <v>8</v>
      </c>
      <c r="O878" s="2">
        <v>0.2</v>
      </c>
      <c r="P878" s="1">
        <v>770.03</v>
      </c>
      <c r="Q878" t="s">
        <v>52</v>
      </c>
      <c r="R878" t="s">
        <v>39</v>
      </c>
    </row>
    <row r="879" spans="1:18" x14ac:dyDescent="0.3">
      <c r="A879">
        <v>1878</v>
      </c>
      <c r="B879" s="3">
        <v>45744</v>
      </c>
      <c r="C879" s="3">
        <v>45748</v>
      </c>
      <c r="D879" t="s">
        <v>305</v>
      </c>
      <c r="E879" t="s">
        <v>730</v>
      </c>
      <c r="F879" t="s">
        <v>46</v>
      </c>
      <c r="G879" t="s">
        <v>107</v>
      </c>
      <c r="H879" t="s">
        <v>108</v>
      </c>
      <c r="I879" t="s">
        <v>34</v>
      </c>
      <c r="J879" t="s">
        <v>24</v>
      </c>
      <c r="K879" t="s">
        <v>224</v>
      </c>
      <c r="L879" t="s">
        <v>460</v>
      </c>
      <c r="M879" s="1">
        <v>14146.48</v>
      </c>
      <c r="N879">
        <v>7</v>
      </c>
      <c r="O879" s="2">
        <v>0.25</v>
      </c>
      <c r="P879" s="1">
        <v>252.2</v>
      </c>
      <c r="Q879" t="s">
        <v>74</v>
      </c>
      <c r="R879" t="s">
        <v>39</v>
      </c>
    </row>
    <row r="880" spans="1:18" x14ac:dyDescent="0.3">
      <c r="A880">
        <v>1879</v>
      </c>
      <c r="B880" s="3">
        <v>45571</v>
      </c>
      <c r="C880" s="3">
        <v>45572</v>
      </c>
      <c r="D880" t="s">
        <v>796</v>
      </c>
      <c r="E880" t="s">
        <v>205</v>
      </c>
      <c r="F880" t="s">
        <v>46</v>
      </c>
      <c r="G880" t="s">
        <v>85</v>
      </c>
      <c r="H880" t="s">
        <v>86</v>
      </c>
      <c r="I880" t="s">
        <v>49</v>
      </c>
      <c r="J880" t="s">
        <v>35</v>
      </c>
      <c r="K880" t="s">
        <v>129</v>
      </c>
      <c r="L880" t="s">
        <v>1491</v>
      </c>
      <c r="M880" s="1">
        <v>20159.810000000001</v>
      </c>
      <c r="N880">
        <v>3</v>
      </c>
      <c r="O880" s="2">
        <v>0</v>
      </c>
      <c r="P880" s="1">
        <v>4108.3599999999997</v>
      </c>
      <c r="Q880" t="s">
        <v>52</v>
      </c>
      <c r="R880" t="s">
        <v>39</v>
      </c>
    </row>
    <row r="881" spans="1:18" x14ac:dyDescent="0.3">
      <c r="A881">
        <v>1880</v>
      </c>
      <c r="B881" s="3">
        <v>45642</v>
      </c>
      <c r="C881" s="3">
        <v>45644</v>
      </c>
      <c r="D881" t="s">
        <v>1492</v>
      </c>
      <c r="E881" t="s">
        <v>915</v>
      </c>
      <c r="F881" t="s">
        <v>31</v>
      </c>
      <c r="G881" t="s">
        <v>102</v>
      </c>
      <c r="H881" t="s">
        <v>103</v>
      </c>
      <c r="I881" t="s">
        <v>58</v>
      </c>
      <c r="J881" t="s">
        <v>64</v>
      </c>
      <c r="K881" t="s">
        <v>80</v>
      </c>
      <c r="L881" t="s">
        <v>1493</v>
      </c>
      <c r="M881" s="1">
        <v>77822.44</v>
      </c>
      <c r="N881">
        <v>6</v>
      </c>
      <c r="O881" s="2">
        <v>0.25</v>
      </c>
      <c r="P881" s="1">
        <v>12091.92</v>
      </c>
      <c r="Q881" t="s">
        <v>115</v>
      </c>
      <c r="R881" t="s">
        <v>120</v>
      </c>
    </row>
    <row r="882" spans="1:18" x14ac:dyDescent="0.3">
      <c r="A882">
        <v>1881</v>
      </c>
      <c r="B882" s="3">
        <v>45292</v>
      </c>
      <c r="C882" s="3">
        <v>45294</v>
      </c>
      <c r="D882" t="s">
        <v>440</v>
      </c>
      <c r="E882" t="s">
        <v>229</v>
      </c>
      <c r="F882" t="s">
        <v>46</v>
      </c>
      <c r="G882" t="s">
        <v>102</v>
      </c>
      <c r="H882" t="s">
        <v>103</v>
      </c>
      <c r="I882" t="s">
        <v>58</v>
      </c>
      <c r="J882" t="s">
        <v>35</v>
      </c>
      <c r="K882" t="s">
        <v>42</v>
      </c>
      <c r="L882" t="s">
        <v>1494</v>
      </c>
      <c r="M882" s="1">
        <v>48615.23</v>
      </c>
      <c r="N882">
        <v>10</v>
      </c>
      <c r="O882" s="2">
        <v>0.25</v>
      </c>
      <c r="P882" s="1">
        <v>8376.23</v>
      </c>
      <c r="Q882" t="s">
        <v>67</v>
      </c>
      <c r="R882" t="s">
        <v>28</v>
      </c>
    </row>
    <row r="883" spans="1:18" x14ac:dyDescent="0.3">
      <c r="A883">
        <v>1882</v>
      </c>
      <c r="B883" s="3">
        <v>45432</v>
      </c>
      <c r="C883" s="3">
        <v>45433</v>
      </c>
      <c r="D883" t="s">
        <v>1022</v>
      </c>
      <c r="E883" t="s">
        <v>864</v>
      </c>
      <c r="F883" t="s">
        <v>20</v>
      </c>
      <c r="G883" t="s">
        <v>85</v>
      </c>
      <c r="H883" t="s">
        <v>86</v>
      </c>
      <c r="I883" t="s">
        <v>49</v>
      </c>
      <c r="J883" t="s">
        <v>64</v>
      </c>
      <c r="K883" t="s">
        <v>65</v>
      </c>
      <c r="L883" t="s">
        <v>1495</v>
      </c>
      <c r="M883" s="1">
        <v>1591.25</v>
      </c>
      <c r="N883">
        <v>1</v>
      </c>
      <c r="O883" s="2">
        <v>0.25</v>
      </c>
      <c r="P883" s="1">
        <v>269.18</v>
      </c>
      <c r="Q883" t="s">
        <v>67</v>
      </c>
      <c r="R883" t="s">
        <v>28</v>
      </c>
    </row>
    <row r="884" spans="1:18" x14ac:dyDescent="0.3">
      <c r="A884">
        <v>1883</v>
      </c>
      <c r="B884" s="3">
        <v>45488</v>
      </c>
      <c r="C884" s="3">
        <v>45490</v>
      </c>
      <c r="D884" t="s">
        <v>1150</v>
      </c>
      <c r="E884" t="s">
        <v>553</v>
      </c>
      <c r="F884" t="s">
        <v>20</v>
      </c>
      <c r="G884" t="s">
        <v>85</v>
      </c>
      <c r="H884" t="s">
        <v>86</v>
      </c>
      <c r="I884" t="s">
        <v>49</v>
      </c>
      <c r="J884" t="s">
        <v>64</v>
      </c>
      <c r="K884" t="s">
        <v>80</v>
      </c>
      <c r="L884" t="s">
        <v>1496</v>
      </c>
      <c r="M884" s="1">
        <v>88340.94</v>
      </c>
      <c r="N884">
        <v>2</v>
      </c>
      <c r="O884" s="2">
        <v>0.2</v>
      </c>
      <c r="P884" s="1">
        <v>10800.18</v>
      </c>
      <c r="Q884" t="s">
        <v>67</v>
      </c>
      <c r="R884" t="s">
        <v>39</v>
      </c>
    </row>
    <row r="885" spans="1:18" x14ac:dyDescent="0.3">
      <c r="A885">
        <v>1884</v>
      </c>
      <c r="B885" s="3">
        <v>45349</v>
      </c>
      <c r="C885" s="3">
        <v>45355</v>
      </c>
      <c r="D885" t="s">
        <v>822</v>
      </c>
      <c r="E885" t="s">
        <v>268</v>
      </c>
      <c r="F885" t="s">
        <v>31</v>
      </c>
      <c r="G885" t="s">
        <v>112</v>
      </c>
      <c r="H885" t="s">
        <v>113</v>
      </c>
      <c r="I885" t="s">
        <v>49</v>
      </c>
      <c r="J885" t="s">
        <v>64</v>
      </c>
      <c r="K885" t="s">
        <v>188</v>
      </c>
      <c r="L885" t="s">
        <v>1497</v>
      </c>
      <c r="M885" s="1">
        <v>80198.41</v>
      </c>
      <c r="N885">
        <v>4</v>
      </c>
      <c r="O885" s="2">
        <v>0.05</v>
      </c>
      <c r="P885" s="1">
        <v>9424.41</v>
      </c>
      <c r="Q885" t="s">
        <v>115</v>
      </c>
      <c r="R885" t="s">
        <v>28</v>
      </c>
    </row>
    <row r="886" spans="1:18" x14ac:dyDescent="0.3">
      <c r="A886">
        <v>1885</v>
      </c>
      <c r="B886" s="3">
        <v>45557</v>
      </c>
      <c r="C886" s="3">
        <v>45560</v>
      </c>
      <c r="D886" t="s">
        <v>648</v>
      </c>
      <c r="E886" t="s">
        <v>968</v>
      </c>
      <c r="F886" t="s">
        <v>20</v>
      </c>
      <c r="G886" t="s">
        <v>102</v>
      </c>
      <c r="H886" t="s">
        <v>103</v>
      </c>
      <c r="I886" t="s">
        <v>58</v>
      </c>
      <c r="J886" t="s">
        <v>64</v>
      </c>
      <c r="K886" t="s">
        <v>80</v>
      </c>
      <c r="L886" t="s">
        <v>1498</v>
      </c>
      <c r="M886" s="1">
        <v>48378.05</v>
      </c>
      <c r="N886">
        <v>1</v>
      </c>
      <c r="O886" s="2">
        <v>0.15</v>
      </c>
      <c r="P886" s="1">
        <v>5767.55</v>
      </c>
      <c r="Q886" t="s">
        <v>67</v>
      </c>
      <c r="R886" t="s">
        <v>39</v>
      </c>
    </row>
    <row r="887" spans="1:18" x14ac:dyDescent="0.3">
      <c r="A887">
        <v>1886</v>
      </c>
      <c r="B887" s="3">
        <v>45892</v>
      </c>
      <c r="C887" s="3">
        <v>45895</v>
      </c>
      <c r="D887" t="s">
        <v>512</v>
      </c>
      <c r="E887" t="s">
        <v>293</v>
      </c>
      <c r="F887" t="s">
        <v>46</v>
      </c>
      <c r="G887" t="s">
        <v>32</v>
      </c>
      <c r="H887" t="s">
        <v>33</v>
      </c>
      <c r="I887" t="s">
        <v>34</v>
      </c>
      <c r="J887" t="s">
        <v>24</v>
      </c>
      <c r="K887" t="s">
        <v>72</v>
      </c>
      <c r="L887" t="s">
        <v>1138</v>
      </c>
      <c r="M887" s="1">
        <v>88832.25</v>
      </c>
      <c r="N887">
        <v>10</v>
      </c>
      <c r="O887" s="2">
        <v>0.3</v>
      </c>
      <c r="P887" s="1">
        <v>7771.28</v>
      </c>
      <c r="Q887" t="s">
        <v>52</v>
      </c>
      <c r="R887" t="s">
        <v>120</v>
      </c>
    </row>
    <row r="888" spans="1:18" x14ac:dyDescent="0.3">
      <c r="A888">
        <v>1887</v>
      </c>
      <c r="B888" s="3">
        <v>46007</v>
      </c>
      <c r="C888" s="3">
        <v>46009</v>
      </c>
      <c r="D888" t="s">
        <v>941</v>
      </c>
      <c r="E888" t="s">
        <v>69</v>
      </c>
      <c r="F888" t="s">
        <v>20</v>
      </c>
      <c r="G888" t="s">
        <v>112</v>
      </c>
      <c r="H888" t="s">
        <v>113</v>
      </c>
      <c r="I888" t="s">
        <v>49</v>
      </c>
      <c r="J888" t="s">
        <v>35</v>
      </c>
      <c r="K888" t="s">
        <v>59</v>
      </c>
      <c r="L888" t="s">
        <v>1499</v>
      </c>
      <c r="M888" s="1">
        <v>65142.33</v>
      </c>
      <c r="N888">
        <v>7</v>
      </c>
      <c r="O888" s="2">
        <v>0.05</v>
      </c>
      <c r="P888" s="1">
        <v>17130.3</v>
      </c>
      <c r="Q888" t="s">
        <v>52</v>
      </c>
      <c r="R888" t="s">
        <v>53</v>
      </c>
    </row>
    <row r="889" spans="1:18" x14ac:dyDescent="0.3">
      <c r="A889">
        <v>1888</v>
      </c>
      <c r="B889" s="3">
        <v>45864</v>
      </c>
      <c r="C889" s="3">
        <v>45868</v>
      </c>
      <c r="D889" t="s">
        <v>18</v>
      </c>
      <c r="E889" t="s">
        <v>536</v>
      </c>
      <c r="F889" t="s">
        <v>20</v>
      </c>
      <c r="G889" t="s">
        <v>90</v>
      </c>
      <c r="H889" t="s">
        <v>91</v>
      </c>
      <c r="I889" t="s">
        <v>23</v>
      </c>
      <c r="J889" t="s">
        <v>24</v>
      </c>
      <c r="K889" t="s">
        <v>50</v>
      </c>
      <c r="L889" t="s">
        <v>1500</v>
      </c>
      <c r="M889" s="1">
        <v>1109.4100000000001</v>
      </c>
      <c r="N889">
        <v>4</v>
      </c>
      <c r="O889" s="2">
        <v>0.2</v>
      </c>
      <c r="P889" s="1">
        <v>40.07</v>
      </c>
      <c r="Q889" t="s">
        <v>115</v>
      </c>
      <c r="R889" t="s">
        <v>28</v>
      </c>
    </row>
    <row r="890" spans="1:18" x14ac:dyDescent="0.3">
      <c r="A890">
        <v>1889</v>
      </c>
      <c r="B890" s="3">
        <v>46020</v>
      </c>
      <c r="C890" s="3">
        <v>46025</v>
      </c>
      <c r="D890" t="s">
        <v>337</v>
      </c>
      <c r="E890" t="s">
        <v>1337</v>
      </c>
      <c r="F890" t="s">
        <v>46</v>
      </c>
      <c r="G890" t="s">
        <v>95</v>
      </c>
      <c r="H890" t="s">
        <v>22</v>
      </c>
      <c r="I890" t="s">
        <v>23</v>
      </c>
      <c r="J890" t="s">
        <v>64</v>
      </c>
      <c r="K890" t="s">
        <v>65</v>
      </c>
      <c r="L890" t="s">
        <v>1501</v>
      </c>
      <c r="M890" s="1">
        <v>8778.36</v>
      </c>
      <c r="N890">
        <v>9</v>
      </c>
      <c r="O890" s="2">
        <v>0.15</v>
      </c>
      <c r="P890" s="1">
        <v>500.46</v>
      </c>
      <c r="Q890" t="s">
        <v>82</v>
      </c>
      <c r="R890" t="s">
        <v>120</v>
      </c>
    </row>
    <row r="891" spans="1:18" x14ac:dyDescent="0.3">
      <c r="A891">
        <v>1890</v>
      </c>
      <c r="B891" s="3">
        <v>45299</v>
      </c>
      <c r="C891" s="3">
        <v>45301</v>
      </c>
      <c r="D891" t="s">
        <v>330</v>
      </c>
      <c r="E891" t="s">
        <v>1359</v>
      </c>
      <c r="F891" t="s">
        <v>46</v>
      </c>
      <c r="G891" t="s">
        <v>90</v>
      </c>
      <c r="H891" t="s">
        <v>91</v>
      </c>
      <c r="I891" t="s">
        <v>23</v>
      </c>
      <c r="J891" t="s">
        <v>64</v>
      </c>
      <c r="K891" t="s">
        <v>157</v>
      </c>
      <c r="L891" t="s">
        <v>1502</v>
      </c>
      <c r="M891" s="1">
        <v>28480.720000000001</v>
      </c>
      <c r="N891">
        <v>2</v>
      </c>
      <c r="O891" s="2">
        <v>0.3</v>
      </c>
      <c r="P891" s="1">
        <v>4805.4799999999996</v>
      </c>
      <c r="Q891" t="s">
        <v>115</v>
      </c>
      <c r="R891" t="s">
        <v>39</v>
      </c>
    </row>
    <row r="892" spans="1:18" x14ac:dyDescent="0.3">
      <c r="A892">
        <v>1891</v>
      </c>
      <c r="B892" s="3">
        <v>45464</v>
      </c>
      <c r="C892" s="3">
        <v>45470</v>
      </c>
      <c r="D892" t="s">
        <v>110</v>
      </c>
      <c r="E892" t="s">
        <v>763</v>
      </c>
      <c r="F892" t="s">
        <v>31</v>
      </c>
      <c r="G892" t="s">
        <v>118</v>
      </c>
      <c r="H892" t="s">
        <v>118</v>
      </c>
      <c r="I892" t="s">
        <v>34</v>
      </c>
      <c r="J892" t="s">
        <v>64</v>
      </c>
      <c r="K892" t="s">
        <v>80</v>
      </c>
      <c r="L892" t="s">
        <v>1503</v>
      </c>
      <c r="M892" s="1">
        <v>56054</v>
      </c>
      <c r="N892">
        <v>2</v>
      </c>
      <c r="O892" s="2">
        <v>0.05</v>
      </c>
      <c r="P892" s="1">
        <v>3686.63</v>
      </c>
      <c r="Q892" t="s">
        <v>27</v>
      </c>
      <c r="R892" t="s">
        <v>53</v>
      </c>
    </row>
    <row r="893" spans="1:18" x14ac:dyDescent="0.3">
      <c r="A893">
        <v>1892</v>
      </c>
      <c r="B893" s="3">
        <v>45601</v>
      </c>
      <c r="C893" s="3">
        <v>45602</v>
      </c>
      <c r="D893" t="s">
        <v>364</v>
      </c>
      <c r="E893" t="s">
        <v>362</v>
      </c>
      <c r="F893" t="s">
        <v>46</v>
      </c>
      <c r="G893" t="s">
        <v>102</v>
      </c>
      <c r="H893" t="s">
        <v>103</v>
      </c>
      <c r="I893" t="s">
        <v>58</v>
      </c>
      <c r="J893" t="s">
        <v>35</v>
      </c>
      <c r="K893" t="s">
        <v>42</v>
      </c>
      <c r="L893" t="s">
        <v>1504</v>
      </c>
      <c r="M893" s="1">
        <v>85126.29</v>
      </c>
      <c r="N893">
        <v>3</v>
      </c>
      <c r="O893" s="2">
        <v>0.25</v>
      </c>
      <c r="P893" s="1">
        <v>7041.39</v>
      </c>
      <c r="Q893" t="s">
        <v>74</v>
      </c>
      <c r="R893" t="s">
        <v>120</v>
      </c>
    </row>
    <row r="894" spans="1:18" x14ac:dyDescent="0.3">
      <c r="A894">
        <v>1893</v>
      </c>
      <c r="B894" s="3">
        <v>45838</v>
      </c>
      <c r="C894" s="3">
        <v>45843</v>
      </c>
      <c r="D894" t="s">
        <v>262</v>
      </c>
      <c r="E894" t="s">
        <v>218</v>
      </c>
      <c r="F894" t="s">
        <v>20</v>
      </c>
      <c r="G894" t="s">
        <v>90</v>
      </c>
      <c r="H894" t="s">
        <v>91</v>
      </c>
      <c r="I894" t="s">
        <v>23</v>
      </c>
      <c r="J894" t="s">
        <v>35</v>
      </c>
      <c r="K894" t="s">
        <v>129</v>
      </c>
      <c r="L894" t="s">
        <v>1325</v>
      </c>
      <c r="M894" s="1">
        <v>47948.75</v>
      </c>
      <c r="N894">
        <v>9</v>
      </c>
      <c r="O894" s="2">
        <v>0</v>
      </c>
      <c r="P894" s="1">
        <v>12321.95</v>
      </c>
      <c r="Q894" t="s">
        <v>61</v>
      </c>
      <c r="R894" t="s">
        <v>28</v>
      </c>
    </row>
    <row r="895" spans="1:18" x14ac:dyDescent="0.3">
      <c r="A895">
        <v>1894</v>
      </c>
      <c r="B895" s="3">
        <v>45467</v>
      </c>
      <c r="C895" s="3">
        <v>45468</v>
      </c>
      <c r="D895" t="s">
        <v>131</v>
      </c>
      <c r="E895" t="s">
        <v>706</v>
      </c>
      <c r="F895" t="s">
        <v>20</v>
      </c>
      <c r="G895" t="s">
        <v>70</v>
      </c>
      <c r="H895" t="s">
        <v>71</v>
      </c>
      <c r="I895" t="s">
        <v>58</v>
      </c>
      <c r="J895" t="s">
        <v>24</v>
      </c>
      <c r="K895" t="s">
        <v>72</v>
      </c>
      <c r="L895" t="s">
        <v>996</v>
      </c>
      <c r="M895" s="1">
        <v>40092.89</v>
      </c>
      <c r="N895">
        <v>5</v>
      </c>
      <c r="O895" s="2">
        <v>0.2</v>
      </c>
      <c r="P895" s="1">
        <v>2174.8000000000002</v>
      </c>
      <c r="Q895" t="s">
        <v>115</v>
      </c>
      <c r="R895" t="s">
        <v>120</v>
      </c>
    </row>
    <row r="896" spans="1:18" x14ac:dyDescent="0.3">
      <c r="A896">
        <v>1895</v>
      </c>
      <c r="B896" s="3">
        <v>45405</v>
      </c>
      <c r="C896" s="3">
        <v>45408</v>
      </c>
      <c r="D896" t="s">
        <v>891</v>
      </c>
      <c r="E896" t="s">
        <v>444</v>
      </c>
      <c r="F896" t="s">
        <v>31</v>
      </c>
      <c r="G896" t="s">
        <v>56</v>
      </c>
      <c r="H896" t="s">
        <v>57</v>
      </c>
      <c r="I896" t="s">
        <v>58</v>
      </c>
      <c r="J896" t="s">
        <v>24</v>
      </c>
      <c r="K896" t="s">
        <v>224</v>
      </c>
      <c r="L896" t="s">
        <v>1505</v>
      </c>
      <c r="M896" s="1">
        <v>21949.75</v>
      </c>
      <c r="N896">
        <v>3</v>
      </c>
      <c r="O896" s="2">
        <v>0.15</v>
      </c>
      <c r="P896" s="1">
        <v>3242.4</v>
      </c>
      <c r="Q896" t="s">
        <v>38</v>
      </c>
      <c r="R896" t="s">
        <v>28</v>
      </c>
    </row>
    <row r="897" spans="1:18" x14ac:dyDescent="0.3">
      <c r="A897">
        <v>1896</v>
      </c>
      <c r="B897" s="3">
        <v>45982</v>
      </c>
      <c r="C897" s="3">
        <v>45988</v>
      </c>
      <c r="D897" t="s">
        <v>193</v>
      </c>
      <c r="E897" t="s">
        <v>1167</v>
      </c>
      <c r="F897" t="s">
        <v>31</v>
      </c>
      <c r="G897" t="s">
        <v>90</v>
      </c>
      <c r="H897" t="s">
        <v>91</v>
      </c>
      <c r="I897" t="s">
        <v>23</v>
      </c>
      <c r="J897" t="s">
        <v>35</v>
      </c>
      <c r="K897" t="s">
        <v>59</v>
      </c>
      <c r="L897" t="s">
        <v>1506</v>
      </c>
      <c r="M897" s="1">
        <v>62132.35</v>
      </c>
      <c r="N897">
        <v>6</v>
      </c>
      <c r="O897" s="2">
        <v>0.2</v>
      </c>
      <c r="P897" s="1">
        <v>7475.09</v>
      </c>
      <c r="Q897" t="s">
        <v>74</v>
      </c>
      <c r="R897" t="s">
        <v>120</v>
      </c>
    </row>
    <row r="898" spans="1:18" x14ac:dyDescent="0.3">
      <c r="A898">
        <v>1897</v>
      </c>
      <c r="B898" s="3">
        <v>45852</v>
      </c>
      <c r="C898" s="3">
        <v>45855</v>
      </c>
      <c r="D898" t="s">
        <v>277</v>
      </c>
      <c r="E898" t="s">
        <v>685</v>
      </c>
      <c r="F898" t="s">
        <v>20</v>
      </c>
      <c r="G898" t="s">
        <v>118</v>
      </c>
      <c r="H898" t="s">
        <v>118</v>
      </c>
      <c r="I898" t="s">
        <v>34</v>
      </c>
      <c r="J898" t="s">
        <v>24</v>
      </c>
      <c r="K898" t="s">
        <v>212</v>
      </c>
      <c r="L898" t="s">
        <v>1507</v>
      </c>
      <c r="M898" s="1">
        <v>6644.09</v>
      </c>
      <c r="N898">
        <v>5</v>
      </c>
      <c r="O898" s="2">
        <v>0.05</v>
      </c>
      <c r="P898" s="1">
        <v>1622.01</v>
      </c>
      <c r="Q898" t="s">
        <v>61</v>
      </c>
      <c r="R898" t="s">
        <v>28</v>
      </c>
    </row>
    <row r="899" spans="1:18" x14ac:dyDescent="0.3">
      <c r="A899">
        <v>1898</v>
      </c>
      <c r="B899" s="3">
        <v>45954</v>
      </c>
      <c r="C899" s="3">
        <v>45955</v>
      </c>
      <c r="D899" t="s">
        <v>798</v>
      </c>
      <c r="E899" t="s">
        <v>1170</v>
      </c>
      <c r="F899" t="s">
        <v>46</v>
      </c>
      <c r="G899" t="s">
        <v>112</v>
      </c>
      <c r="H899" t="s">
        <v>113</v>
      </c>
      <c r="I899" t="s">
        <v>49</v>
      </c>
      <c r="J899" t="s">
        <v>35</v>
      </c>
      <c r="K899" t="s">
        <v>129</v>
      </c>
      <c r="L899" t="s">
        <v>1508</v>
      </c>
      <c r="M899" s="1">
        <v>26200.62</v>
      </c>
      <c r="N899">
        <v>5</v>
      </c>
      <c r="O899" s="2">
        <v>0.25</v>
      </c>
      <c r="P899" s="1">
        <v>411.95</v>
      </c>
      <c r="Q899" t="s">
        <v>82</v>
      </c>
      <c r="R899" t="s">
        <v>28</v>
      </c>
    </row>
    <row r="900" spans="1:18" x14ac:dyDescent="0.3">
      <c r="A900">
        <v>1899</v>
      </c>
      <c r="B900" s="3">
        <v>45450</v>
      </c>
      <c r="C900" s="3">
        <v>45453</v>
      </c>
      <c r="D900" t="s">
        <v>214</v>
      </c>
      <c r="E900" t="s">
        <v>247</v>
      </c>
      <c r="F900" t="s">
        <v>31</v>
      </c>
      <c r="G900" t="s">
        <v>118</v>
      </c>
      <c r="H900" t="s">
        <v>118</v>
      </c>
      <c r="I900" t="s">
        <v>34</v>
      </c>
      <c r="J900" t="s">
        <v>35</v>
      </c>
      <c r="K900" t="s">
        <v>59</v>
      </c>
      <c r="L900" t="s">
        <v>825</v>
      </c>
      <c r="M900" s="1">
        <v>36062.94</v>
      </c>
      <c r="N900">
        <v>9</v>
      </c>
      <c r="O900" s="2">
        <v>0</v>
      </c>
      <c r="P900" s="1">
        <v>4636.2700000000004</v>
      </c>
      <c r="Q900" t="s">
        <v>115</v>
      </c>
      <c r="R900" t="s">
        <v>28</v>
      </c>
    </row>
    <row r="901" spans="1:18" x14ac:dyDescent="0.3">
      <c r="A901">
        <v>1900</v>
      </c>
      <c r="B901" s="3">
        <v>45777</v>
      </c>
      <c r="C901" s="3">
        <v>45782</v>
      </c>
      <c r="D901" t="s">
        <v>621</v>
      </c>
      <c r="E901" t="s">
        <v>191</v>
      </c>
      <c r="F901" t="s">
        <v>46</v>
      </c>
      <c r="G901" t="s">
        <v>118</v>
      </c>
      <c r="H901" t="s">
        <v>118</v>
      </c>
      <c r="I901" t="s">
        <v>34</v>
      </c>
      <c r="J901" t="s">
        <v>35</v>
      </c>
      <c r="K901" t="s">
        <v>42</v>
      </c>
      <c r="L901" t="s">
        <v>150</v>
      </c>
      <c r="M901" s="1">
        <v>15497.12</v>
      </c>
      <c r="N901">
        <v>1</v>
      </c>
      <c r="O901" s="2">
        <v>0.2</v>
      </c>
      <c r="P901" s="1">
        <v>3010.84</v>
      </c>
      <c r="Q901" t="s">
        <v>61</v>
      </c>
      <c r="R901" t="s">
        <v>39</v>
      </c>
    </row>
    <row r="902" spans="1:18" x14ac:dyDescent="0.3">
      <c r="A902">
        <v>1901</v>
      </c>
      <c r="B902" s="3">
        <v>45302</v>
      </c>
      <c r="C902" s="3">
        <v>45303</v>
      </c>
      <c r="D902" t="s">
        <v>759</v>
      </c>
      <c r="E902" t="s">
        <v>160</v>
      </c>
      <c r="F902" t="s">
        <v>31</v>
      </c>
      <c r="G902" t="s">
        <v>95</v>
      </c>
      <c r="H902" t="s">
        <v>22</v>
      </c>
      <c r="I902" t="s">
        <v>23</v>
      </c>
      <c r="J902" t="s">
        <v>35</v>
      </c>
      <c r="K902" t="s">
        <v>129</v>
      </c>
      <c r="L902" t="s">
        <v>1509</v>
      </c>
      <c r="M902" s="1">
        <v>89292.22</v>
      </c>
      <c r="N902">
        <v>3</v>
      </c>
      <c r="O902" s="2">
        <v>0.05</v>
      </c>
      <c r="P902" s="1">
        <v>18659.41</v>
      </c>
      <c r="Q902" t="s">
        <v>82</v>
      </c>
      <c r="R902" t="s">
        <v>120</v>
      </c>
    </row>
    <row r="903" spans="1:18" x14ac:dyDescent="0.3">
      <c r="A903">
        <v>1902</v>
      </c>
      <c r="B903" s="3">
        <v>45383</v>
      </c>
      <c r="C903" s="3">
        <v>45385</v>
      </c>
      <c r="D903" t="s">
        <v>1392</v>
      </c>
      <c r="E903" t="s">
        <v>930</v>
      </c>
      <c r="F903" t="s">
        <v>31</v>
      </c>
      <c r="G903" t="s">
        <v>56</v>
      </c>
      <c r="H903" t="s">
        <v>57</v>
      </c>
      <c r="I903" t="s">
        <v>58</v>
      </c>
      <c r="J903" t="s">
        <v>24</v>
      </c>
      <c r="K903" t="s">
        <v>212</v>
      </c>
      <c r="L903" t="s">
        <v>1510</v>
      </c>
      <c r="M903" s="1">
        <v>37287.99</v>
      </c>
      <c r="N903">
        <v>5</v>
      </c>
      <c r="O903" s="2">
        <v>0.1</v>
      </c>
      <c r="P903" s="1">
        <v>2776.18</v>
      </c>
      <c r="Q903" t="s">
        <v>67</v>
      </c>
      <c r="R903" t="s">
        <v>53</v>
      </c>
    </row>
    <row r="904" spans="1:18" x14ac:dyDescent="0.3">
      <c r="A904">
        <v>1903</v>
      </c>
      <c r="B904" s="3">
        <v>45796</v>
      </c>
      <c r="C904" s="3">
        <v>45797</v>
      </c>
      <c r="D904" t="s">
        <v>208</v>
      </c>
      <c r="E904" t="s">
        <v>959</v>
      </c>
      <c r="F904" t="s">
        <v>46</v>
      </c>
      <c r="G904" t="s">
        <v>47</v>
      </c>
      <c r="H904" t="s">
        <v>48</v>
      </c>
      <c r="I904" t="s">
        <v>49</v>
      </c>
      <c r="J904" t="s">
        <v>64</v>
      </c>
      <c r="K904" t="s">
        <v>80</v>
      </c>
      <c r="L904" t="s">
        <v>1511</v>
      </c>
      <c r="M904" s="1">
        <v>83326.36</v>
      </c>
      <c r="N904">
        <v>8</v>
      </c>
      <c r="O904" s="2">
        <v>0.25</v>
      </c>
      <c r="P904" s="1">
        <v>11454.92</v>
      </c>
      <c r="Q904" t="s">
        <v>82</v>
      </c>
      <c r="R904" t="s">
        <v>39</v>
      </c>
    </row>
    <row r="905" spans="1:18" x14ac:dyDescent="0.3">
      <c r="A905">
        <v>1904</v>
      </c>
      <c r="B905" s="3">
        <v>45431</v>
      </c>
      <c r="C905" s="3">
        <v>45434</v>
      </c>
      <c r="D905" t="s">
        <v>458</v>
      </c>
      <c r="E905" t="s">
        <v>326</v>
      </c>
      <c r="F905" t="s">
        <v>20</v>
      </c>
      <c r="G905" t="s">
        <v>118</v>
      </c>
      <c r="H905" t="s">
        <v>118</v>
      </c>
      <c r="I905" t="s">
        <v>34</v>
      </c>
      <c r="J905" t="s">
        <v>24</v>
      </c>
      <c r="K905" t="s">
        <v>50</v>
      </c>
      <c r="L905" t="s">
        <v>1512</v>
      </c>
      <c r="M905" s="1">
        <v>38708.1</v>
      </c>
      <c r="N905">
        <v>9</v>
      </c>
      <c r="O905" s="2">
        <v>0.05</v>
      </c>
      <c r="P905" s="1">
        <v>8963.25</v>
      </c>
      <c r="Q905" t="s">
        <v>115</v>
      </c>
      <c r="R905" t="s">
        <v>39</v>
      </c>
    </row>
    <row r="906" spans="1:18" x14ac:dyDescent="0.3">
      <c r="A906">
        <v>1905</v>
      </c>
      <c r="B906" s="3">
        <v>45834</v>
      </c>
      <c r="C906" s="3">
        <v>45839</v>
      </c>
      <c r="D906" t="s">
        <v>721</v>
      </c>
      <c r="E906" t="s">
        <v>135</v>
      </c>
      <c r="F906" t="s">
        <v>31</v>
      </c>
      <c r="G906" t="s">
        <v>70</v>
      </c>
      <c r="H906" t="s">
        <v>71</v>
      </c>
      <c r="I906" t="s">
        <v>58</v>
      </c>
      <c r="J906" t="s">
        <v>24</v>
      </c>
      <c r="K906" t="s">
        <v>25</v>
      </c>
      <c r="L906" t="s">
        <v>1489</v>
      </c>
      <c r="M906" s="1">
        <v>4571.87</v>
      </c>
      <c r="N906">
        <v>3</v>
      </c>
      <c r="O906" s="2">
        <v>0</v>
      </c>
      <c r="P906" s="1">
        <v>867.8</v>
      </c>
      <c r="Q906" t="s">
        <v>74</v>
      </c>
      <c r="R906" t="s">
        <v>53</v>
      </c>
    </row>
    <row r="907" spans="1:18" x14ac:dyDescent="0.3">
      <c r="A907">
        <v>1906</v>
      </c>
      <c r="B907" s="3">
        <v>45497</v>
      </c>
      <c r="C907" s="3">
        <v>45502</v>
      </c>
      <c r="D907" t="s">
        <v>292</v>
      </c>
      <c r="E907" t="s">
        <v>444</v>
      </c>
      <c r="F907" t="s">
        <v>31</v>
      </c>
      <c r="G907" t="s">
        <v>90</v>
      </c>
      <c r="H907" t="s">
        <v>91</v>
      </c>
      <c r="I907" t="s">
        <v>23</v>
      </c>
      <c r="J907" t="s">
        <v>64</v>
      </c>
      <c r="K907" t="s">
        <v>157</v>
      </c>
      <c r="L907" t="s">
        <v>1513</v>
      </c>
      <c r="M907" s="1">
        <v>31096.63</v>
      </c>
      <c r="N907">
        <v>8</v>
      </c>
      <c r="O907" s="2">
        <v>0.15</v>
      </c>
      <c r="P907" s="1">
        <v>5311.11</v>
      </c>
      <c r="Q907" t="s">
        <v>82</v>
      </c>
      <c r="R907" t="s">
        <v>39</v>
      </c>
    </row>
    <row r="908" spans="1:18" x14ac:dyDescent="0.3">
      <c r="A908">
        <v>1907</v>
      </c>
      <c r="B908" s="3">
        <v>45914</v>
      </c>
      <c r="C908" s="3">
        <v>45920</v>
      </c>
      <c r="D908" t="s">
        <v>1007</v>
      </c>
      <c r="E908" t="s">
        <v>468</v>
      </c>
      <c r="F908" t="s">
        <v>20</v>
      </c>
      <c r="G908" t="s">
        <v>70</v>
      </c>
      <c r="H908" t="s">
        <v>71</v>
      </c>
      <c r="I908" t="s">
        <v>58</v>
      </c>
      <c r="J908" t="s">
        <v>24</v>
      </c>
      <c r="K908" t="s">
        <v>50</v>
      </c>
      <c r="L908" t="s">
        <v>1514</v>
      </c>
      <c r="M908" s="1">
        <v>54400.49</v>
      </c>
      <c r="N908">
        <v>10</v>
      </c>
      <c r="O908" s="2">
        <v>0.25</v>
      </c>
      <c r="P908" s="1">
        <v>1980.36</v>
      </c>
      <c r="Q908" t="s">
        <v>61</v>
      </c>
      <c r="R908" t="s">
        <v>120</v>
      </c>
    </row>
    <row r="909" spans="1:18" x14ac:dyDescent="0.3">
      <c r="A909">
        <v>1908</v>
      </c>
      <c r="B909" s="3">
        <v>45868</v>
      </c>
      <c r="C909" s="3">
        <v>45872</v>
      </c>
      <c r="D909" t="s">
        <v>759</v>
      </c>
      <c r="E909" t="s">
        <v>1515</v>
      </c>
      <c r="F909" t="s">
        <v>31</v>
      </c>
      <c r="G909" t="s">
        <v>85</v>
      </c>
      <c r="H909" t="s">
        <v>86</v>
      </c>
      <c r="I909" t="s">
        <v>49</v>
      </c>
      <c r="J909" t="s">
        <v>35</v>
      </c>
      <c r="K909" t="s">
        <v>36</v>
      </c>
      <c r="L909" t="s">
        <v>1516</v>
      </c>
      <c r="M909" s="1">
        <v>41380.910000000003</v>
      </c>
      <c r="N909">
        <v>3</v>
      </c>
      <c r="O909" s="2">
        <v>0.25</v>
      </c>
      <c r="P909" s="1">
        <v>2306.96</v>
      </c>
      <c r="Q909" t="s">
        <v>82</v>
      </c>
      <c r="R909" t="s">
        <v>120</v>
      </c>
    </row>
    <row r="910" spans="1:18" x14ac:dyDescent="0.3">
      <c r="A910">
        <v>1909</v>
      </c>
      <c r="B910" s="3">
        <v>45762</v>
      </c>
      <c r="C910" s="3">
        <v>45764</v>
      </c>
      <c r="D910" t="s">
        <v>515</v>
      </c>
      <c r="E910" t="s">
        <v>89</v>
      </c>
      <c r="F910" t="s">
        <v>20</v>
      </c>
      <c r="G910" t="s">
        <v>107</v>
      </c>
      <c r="H910" t="s">
        <v>108</v>
      </c>
      <c r="I910" t="s">
        <v>34</v>
      </c>
      <c r="J910" t="s">
        <v>64</v>
      </c>
      <c r="K910" t="s">
        <v>188</v>
      </c>
      <c r="L910" t="s">
        <v>1517</v>
      </c>
      <c r="M910" s="1">
        <v>29864.98</v>
      </c>
      <c r="N910">
        <v>3</v>
      </c>
      <c r="O910" s="2">
        <v>0.2</v>
      </c>
      <c r="P910" s="1">
        <v>1625.61</v>
      </c>
      <c r="Q910" t="s">
        <v>61</v>
      </c>
      <c r="R910" t="s">
        <v>39</v>
      </c>
    </row>
    <row r="911" spans="1:18" x14ac:dyDescent="0.3">
      <c r="A911">
        <v>1910</v>
      </c>
      <c r="B911" s="3">
        <v>45697</v>
      </c>
      <c r="C911" s="3">
        <v>45703</v>
      </c>
      <c r="D911" t="s">
        <v>458</v>
      </c>
      <c r="E911" t="s">
        <v>1518</v>
      </c>
      <c r="F911" t="s">
        <v>31</v>
      </c>
      <c r="G911" t="s">
        <v>102</v>
      </c>
      <c r="H911" t="s">
        <v>103</v>
      </c>
      <c r="I911" t="s">
        <v>58</v>
      </c>
      <c r="J911" t="s">
        <v>24</v>
      </c>
      <c r="K911" t="s">
        <v>212</v>
      </c>
      <c r="L911" t="s">
        <v>1519</v>
      </c>
      <c r="M911" s="1">
        <v>7897.24</v>
      </c>
      <c r="N911">
        <v>9</v>
      </c>
      <c r="O911" s="2">
        <v>0.05</v>
      </c>
      <c r="P911" s="1">
        <v>650.1</v>
      </c>
      <c r="Q911" t="s">
        <v>115</v>
      </c>
      <c r="R911" t="s">
        <v>53</v>
      </c>
    </row>
    <row r="912" spans="1:18" x14ac:dyDescent="0.3">
      <c r="A912">
        <v>1911</v>
      </c>
      <c r="B912" s="3">
        <v>45344</v>
      </c>
      <c r="C912" s="3">
        <v>45347</v>
      </c>
      <c r="D912" t="s">
        <v>518</v>
      </c>
      <c r="E912" t="s">
        <v>805</v>
      </c>
      <c r="F912" t="s">
        <v>46</v>
      </c>
      <c r="G912" t="s">
        <v>56</v>
      </c>
      <c r="H912" t="s">
        <v>57</v>
      </c>
      <c r="I912" t="s">
        <v>58</v>
      </c>
      <c r="J912" t="s">
        <v>24</v>
      </c>
      <c r="K912" t="s">
        <v>212</v>
      </c>
      <c r="L912" t="s">
        <v>1520</v>
      </c>
      <c r="M912" s="1">
        <v>77547.95</v>
      </c>
      <c r="N912">
        <v>5</v>
      </c>
      <c r="O912" s="2">
        <v>0.25</v>
      </c>
      <c r="P912" s="1">
        <v>10805.05</v>
      </c>
      <c r="Q912" t="s">
        <v>38</v>
      </c>
      <c r="R912" t="s">
        <v>39</v>
      </c>
    </row>
    <row r="913" spans="1:18" x14ac:dyDescent="0.3">
      <c r="A913">
        <v>1912</v>
      </c>
      <c r="B913" s="3">
        <v>45736</v>
      </c>
      <c r="C913" s="3">
        <v>45740</v>
      </c>
      <c r="D913" t="s">
        <v>234</v>
      </c>
      <c r="E913" t="s">
        <v>356</v>
      </c>
      <c r="F913" t="s">
        <v>31</v>
      </c>
      <c r="G913" t="s">
        <v>118</v>
      </c>
      <c r="H913" t="s">
        <v>118</v>
      </c>
      <c r="I913" t="s">
        <v>34</v>
      </c>
      <c r="J913" t="s">
        <v>35</v>
      </c>
      <c r="K913" t="s">
        <v>42</v>
      </c>
      <c r="L913" t="s">
        <v>1521</v>
      </c>
      <c r="M913" s="1">
        <v>35121.67</v>
      </c>
      <c r="N913">
        <v>6</v>
      </c>
      <c r="O913" s="2">
        <v>0.15</v>
      </c>
      <c r="P913" s="1">
        <v>6581.56</v>
      </c>
      <c r="Q913" t="s">
        <v>74</v>
      </c>
      <c r="R913" t="s">
        <v>120</v>
      </c>
    </row>
    <row r="914" spans="1:18" x14ac:dyDescent="0.3">
      <c r="A914">
        <v>1913</v>
      </c>
      <c r="B914" s="3">
        <v>45707</v>
      </c>
      <c r="C914" s="3">
        <v>45711</v>
      </c>
      <c r="D914" t="s">
        <v>131</v>
      </c>
      <c r="E914" t="s">
        <v>542</v>
      </c>
      <c r="F914" t="s">
        <v>20</v>
      </c>
      <c r="G914" t="s">
        <v>118</v>
      </c>
      <c r="H914" t="s">
        <v>118</v>
      </c>
      <c r="I914" t="s">
        <v>34</v>
      </c>
      <c r="J914" t="s">
        <v>64</v>
      </c>
      <c r="K914" t="s">
        <v>104</v>
      </c>
      <c r="L914" t="s">
        <v>1522</v>
      </c>
      <c r="M914" s="1">
        <v>33652.839999999997</v>
      </c>
      <c r="N914">
        <v>3</v>
      </c>
      <c r="O914" s="2">
        <v>0.3</v>
      </c>
      <c r="P914" s="1">
        <v>-650.88</v>
      </c>
      <c r="Q914" t="s">
        <v>52</v>
      </c>
      <c r="R914" t="s">
        <v>28</v>
      </c>
    </row>
    <row r="915" spans="1:18" x14ac:dyDescent="0.3">
      <c r="A915">
        <v>1914</v>
      </c>
      <c r="B915" s="3">
        <v>45997</v>
      </c>
      <c r="C915" s="3">
        <v>46000</v>
      </c>
      <c r="D915" t="s">
        <v>292</v>
      </c>
      <c r="E915" t="s">
        <v>979</v>
      </c>
      <c r="F915" t="s">
        <v>20</v>
      </c>
      <c r="G915" t="s">
        <v>95</v>
      </c>
      <c r="H915" t="s">
        <v>22</v>
      </c>
      <c r="I915" t="s">
        <v>23</v>
      </c>
      <c r="J915" t="s">
        <v>64</v>
      </c>
      <c r="K915" t="s">
        <v>188</v>
      </c>
      <c r="L915" t="s">
        <v>1523</v>
      </c>
      <c r="M915" s="1">
        <v>4202.6400000000003</v>
      </c>
      <c r="N915">
        <v>1</v>
      </c>
      <c r="O915" s="2">
        <v>0.2</v>
      </c>
      <c r="P915" s="1">
        <v>437.31</v>
      </c>
      <c r="Q915" t="s">
        <v>74</v>
      </c>
      <c r="R915" t="s">
        <v>39</v>
      </c>
    </row>
    <row r="916" spans="1:18" x14ac:dyDescent="0.3">
      <c r="A916">
        <v>1915</v>
      </c>
      <c r="B916" s="3">
        <v>45892</v>
      </c>
      <c r="C916" s="3">
        <v>45895</v>
      </c>
      <c r="D916" t="s">
        <v>873</v>
      </c>
      <c r="E916" t="s">
        <v>1170</v>
      </c>
      <c r="F916" t="s">
        <v>31</v>
      </c>
      <c r="G916" t="s">
        <v>90</v>
      </c>
      <c r="H916" t="s">
        <v>91</v>
      </c>
      <c r="I916" t="s">
        <v>23</v>
      </c>
      <c r="J916" t="s">
        <v>64</v>
      </c>
      <c r="K916" t="s">
        <v>104</v>
      </c>
      <c r="L916" t="s">
        <v>1524</v>
      </c>
      <c r="M916" s="1">
        <v>29186.48</v>
      </c>
      <c r="N916">
        <v>4</v>
      </c>
      <c r="O916" s="2">
        <v>0.1</v>
      </c>
      <c r="P916" s="1">
        <v>2579.38</v>
      </c>
      <c r="Q916" t="s">
        <v>67</v>
      </c>
      <c r="R916" t="s">
        <v>39</v>
      </c>
    </row>
    <row r="917" spans="1:18" x14ac:dyDescent="0.3">
      <c r="A917">
        <v>1916</v>
      </c>
      <c r="B917" s="3">
        <v>45301</v>
      </c>
      <c r="C917" s="3">
        <v>45305</v>
      </c>
      <c r="D917" t="s">
        <v>1083</v>
      </c>
      <c r="E917" t="s">
        <v>1525</v>
      </c>
      <c r="F917" t="s">
        <v>31</v>
      </c>
      <c r="G917" t="s">
        <v>32</v>
      </c>
      <c r="H917" t="s">
        <v>33</v>
      </c>
      <c r="I917" t="s">
        <v>34</v>
      </c>
      <c r="J917" t="s">
        <v>64</v>
      </c>
      <c r="K917" t="s">
        <v>157</v>
      </c>
      <c r="L917" t="s">
        <v>1526</v>
      </c>
      <c r="M917" s="1">
        <v>51102.98</v>
      </c>
      <c r="N917">
        <v>8</v>
      </c>
      <c r="O917" s="2">
        <v>0.1</v>
      </c>
      <c r="P917" s="1">
        <v>5772.76</v>
      </c>
      <c r="Q917" t="s">
        <v>115</v>
      </c>
      <c r="R917" t="s">
        <v>53</v>
      </c>
    </row>
    <row r="918" spans="1:18" x14ac:dyDescent="0.3">
      <c r="A918">
        <v>1917</v>
      </c>
      <c r="B918" s="3">
        <v>45664</v>
      </c>
      <c r="C918" s="3">
        <v>45669</v>
      </c>
      <c r="D918" t="s">
        <v>256</v>
      </c>
      <c r="E918" t="s">
        <v>1357</v>
      </c>
      <c r="F918" t="s">
        <v>46</v>
      </c>
      <c r="G918" t="s">
        <v>95</v>
      </c>
      <c r="H918" t="s">
        <v>22</v>
      </c>
      <c r="I918" t="s">
        <v>23</v>
      </c>
      <c r="J918" t="s">
        <v>35</v>
      </c>
      <c r="K918" t="s">
        <v>36</v>
      </c>
      <c r="L918" t="s">
        <v>1527</v>
      </c>
      <c r="M918" s="1">
        <v>75607.94</v>
      </c>
      <c r="N918">
        <v>8</v>
      </c>
      <c r="O918" s="2">
        <v>0</v>
      </c>
      <c r="P918" s="1">
        <v>10393.43</v>
      </c>
      <c r="Q918" t="s">
        <v>67</v>
      </c>
      <c r="R918" t="s">
        <v>120</v>
      </c>
    </row>
    <row r="919" spans="1:18" x14ac:dyDescent="0.3">
      <c r="A919">
        <v>1918</v>
      </c>
      <c r="B919" s="3">
        <v>45380</v>
      </c>
      <c r="C919" s="3">
        <v>45383</v>
      </c>
      <c r="D919" t="s">
        <v>636</v>
      </c>
      <c r="E919" t="s">
        <v>896</v>
      </c>
      <c r="F919" t="s">
        <v>31</v>
      </c>
      <c r="G919" t="s">
        <v>95</v>
      </c>
      <c r="H919" t="s">
        <v>22</v>
      </c>
      <c r="I919" t="s">
        <v>23</v>
      </c>
      <c r="J919" t="s">
        <v>35</v>
      </c>
      <c r="K919" t="s">
        <v>129</v>
      </c>
      <c r="L919" t="s">
        <v>1528</v>
      </c>
      <c r="M919" s="1">
        <v>9720.76</v>
      </c>
      <c r="N919">
        <v>8</v>
      </c>
      <c r="O919" s="2">
        <v>0.25</v>
      </c>
      <c r="P919" s="1">
        <v>1325.18</v>
      </c>
      <c r="Q919" t="s">
        <v>61</v>
      </c>
      <c r="R919" t="s">
        <v>120</v>
      </c>
    </row>
    <row r="920" spans="1:18" x14ac:dyDescent="0.3">
      <c r="A920">
        <v>1919</v>
      </c>
      <c r="B920" s="3">
        <v>45550</v>
      </c>
      <c r="C920" s="3">
        <v>45556</v>
      </c>
      <c r="D920" t="s">
        <v>941</v>
      </c>
      <c r="E920" t="s">
        <v>290</v>
      </c>
      <c r="F920" t="s">
        <v>46</v>
      </c>
      <c r="G920" t="s">
        <v>70</v>
      </c>
      <c r="H920" t="s">
        <v>71</v>
      </c>
      <c r="I920" t="s">
        <v>58</v>
      </c>
      <c r="J920" t="s">
        <v>35</v>
      </c>
      <c r="K920" t="s">
        <v>42</v>
      </c>
      <c r="L920" t="s">
        <v>1529</v>
      </c>
      <c r="M920" s="1">
        <v>33656.050000000003</v>
      </c>
      <c r="N920">
        <v>5</v>
      </c>
      <c r="O920" s="2">
        <v>0.3</v>
      </c>
      <c r="P920" s="1">
        <v>569.96</v>
      </c>
      <c r="Q920" t="s">
        <v>38</v>
      </c>
      <c r="R920" t="s">
        <v>39</v>
      </c>
    </row>
    <row r="921" spans="1:18" x14ac:dyDescent="0.3">
      <c r="A921">
        <v>1920</v>
      </c>
      <c r="B921" s="3">
        <v>46009</v>
      </c>
      <c r="C921" s="3">
        <v>46012</v>
      </c>
      <c r="D921" t="s">
        <v>1266</v>
      </c>
      <c r="E921" t="s">
        <v>197</v>
      </c>
      <c r="F921" t="s">
        <v>31</v>
      </c>
      <c r="G921" t="s">
        <v>85</v>
      </c>
      <c r="H921" t="s">
        <v>86</v>
      </c>
      <c r="I921" t="s">
        <v>49</v>
      </c>
      <c r="J921" t="s">
        <v>64</v>
      </c>
      <c r="K921" t="s">
        <v>104</v>
      </c>
      <c r="L921" t="s">
        <v>1530</v>
      </c>
      <c r="M921" s="1">
        <v>15346.43</v>
      </c>
      <c r="N921">
        <v>7</v>
      </c>
      <c r="O921" s="2">
        <v>0.05</v>
      </c>
      <c r="P921" s="1">
        <v>3205.46</v>
      </c>
      <c r="Q921" t="s">
        <v>52</v>
      </c>
      <c r="R921" t="s">
        <v>53</v>
      </c>
    </row>
    <row r="922" spans="1:18" x14ac:dyDescent="0.3">
      <c r="A922">
        <v>1921</v>
      </c>
      <c r="B922" s="3">
        <v>45426</v>
      </c>
      <c r="C922" s="3">
        <v>45430</v>
      </c>
      <c r="D922" t="s">
        <v>297</v>
      </c>
      <c r="E922" t="s">
        <v>122</v>
      </c>
      <c r="F922" t="s">
        <v>31</v>
      </c>
      <c r="G922" t="s">
        <v>107</v>
      </c>
      <c r="H922" t="s">
        <v>108</v>
      </c>
      <c r="I922" t="s">
        <v>34</v>
      </c>
      <c r="J922" t="s">
        <v>64</v>
      </c>
      <c r="K922" t="s">
        <v>157</v>
      </c>
      <c r="L922" t="s">
        <v>1531</v>
      </c>
      <c r="M922" s="1">
        <v>5110.34</v>
      </c>
      <c r="N922">
        <v>7</v>
      </c>
      <c r="O922" s="2">
        <v>0.05</v>
      </c>
      <c r="P922" s="1">
        <v>809.65</v>
      </c>
      <c r="Q922" t="s">
        <v>115</v>
      </c>
      <c r="R922" t="s">
        <v>39</v>
      </c>
    </row>
    <row r="923" spans="1:18" x14ac:dyDescent="0.3">
      <c r="A923">
        <v>1922</v>
      </c>
      <c r="B923" s="3">
        <v>45900</v>
      </c>
      <c r="C923" s="3">
        <v>45904</v>
      </c>
      <c r="D923" t="s">
        <v>437</v>
      </c>
      <c r="E923" t="s">
        <v>639</v>
      </c>
      <c r="F923" t="s">
        <v>46</v>
      </c>
      <c r="G923" t="s">
        <v>56</v>
      </c>
      <c r="H923" t="s">
        <v>57</v>
      </c>
      <c r="I923" t="s">
        <v>58</v>
      </c>
      <c r="J923" t="s">
        <v>64</v>
      </c>
      <c r="K923" t="s">
        <v>104</v>
      </c>
      <c r="L923" t="s">
        <v>1532</v>
      </c>
      <c r="M923" s="1">
        <v>73891.53</v>
      </c>
      <c r="N923">
        <v>6</v>
      </c>
      <c r="O923" s="2">
        <v>0.15</v>
      </c>
      <c r="P923" s="1">
        <v>8238.43</v>
      </c>
      <c r="Q923" t="s">
        <v>67</v>
      </c>
      <c r="R923" t="s">
        <v>39</v>
      </c>
    </row>
    <row r="924" spans="1:18" x14ac:dyDescent="0.3">
      <c r="A924">
        <v>1923</v>
      </c>
      <c r="B924" s="3">
        <v>45908</v>
      </c>
      <c r="C924" s="3">
        <v>45914</v>
      </c>
      <c r="D924" t="s">
        <v>267</v>
      </c>
      <c r="E924" t="s">
        <v>1359</v>
      </c>
      <c r="F924" t="s">
        <v>20</v>
      </c>
      <c r="G924" t="s">
        <v>107</v>
      </c>
      <c r="H924" t="s">
        <v>108</v>
      </c>
      <c r="I924" t="s">
        <v>34</v>
      </c>
      <c r="J924" t="s">
        <v>35</v>
      </c>
      <c r="K924" t="s">
        <v>42</v>
      </c>
      <c r="L924" t="s">
        <v>1533</v>
      </c>
      <c r="M924" s="1">
        <v>75072.13</v>
      </c>
      <c r="N924">
        <v>7</v>
      </c>
      <c r="O924" s="2">
        <v>0.2</v>
      </c>
      <c r="P924" s="1">
        <v>1828.38</v>
      </c>
      <c r="Q924" t="s">
        <v>115</v>
      </c>
      <c r="R924" t="s">
        <v>39</v>
      </c>
    </row>
    <row r="925" spans="1:18" x14ac:dyDescent="0.3">
      <c r="A925">
        <v>1924</v>
      </c>
      <c r="B925" s="3">
        <v>45921</v>
      </c>
      <c r="C925" s="3">
        <v>45923</v>
      </c>
      <c r="D925" t="s">
        <v>1199</v>
      </c>
      <c r="E925" t="s">
        <v>394</v>
      </c>
      <c r="F925" t="s">
        <v>46</v>
      </c>
      <c r="G925" t="s">
        <v>118</v>
      </c>
      <c r="H925" t="s">
        <v>118</v>
      </c>
      <c r="I925" t="s">
        <v>34</v>
      </c>
      <c r="J925" t="s">
        <v>64</v>
      </c>
      <c r="K925" t="s">
        <v>104</v>
      </c>
      <c r="L925" t="s">
        <v>1534</v>
      </c>
      <c r="M925" s="1">
        <v>34959.910000000003</v>
      </c>
      <c r="N925">
        <v>9</v>
      </c>
      <c r="O925" s="2">
        <v>0.2</v>
      </c>
      <c r="P925" s="1">
        <v>6595.15</v>
      </c>
      <c r="Q925" t="s">
        <v>82</v>
      </c>
      <c r="R925" t="s">
        <v>28</v>
      </c>
    </row>
    <row r="926" spans="1:18" x14ac:dyDescent="0.3">
      <c r="A926">
        <v>1925</v>
      </c>
      <c r="B926" s="3">
        <v>45515</v>
      </c>
      <c r="C926" s="3">
        <v>45521</v>
      </c>
      <c r="D926" t="s">
        <v>1236</v>
      </c>
      <c r="E926" t="s">
        <v>757</v>
      </c>
      <c r="F926" t="s">
        <v>31</v>
      </c>
      <c r="G926" t="s">
        <v>32</v>
      </c>
      <c r="H926" t="s">
        <v>33</v>
      </c>
      <c r="I926" t="s">
        <v>34</v>
      </c>
      <c r="J926" t="s">
        <v>24</v>
      </c>
      <c r="K926" t="s">
        <v>50</v>
      </c>
      <c r="L926" t="s">
        <v>1535</v>
      </c>
      <c r="M926" s="1">
        <v>54701.06</v>
      </c>
      <c r="N926">
        <v>5</v>
      </c>
      <c r="O926" s="2">
        <v>0</v>
      </c>
      <c r="P926" s="1">
        <v>7888.24</v>
      </c>
      <c r="Q926" t="s">
        <v>67</v>
      </c>
      <c r="R926" t="s">
        <v>28</v>
      </c>
    </row>
    <row r="927" spans="1:18" x14ac:dyDescent="0.3">
      <c r="A927">
        <v>1926</v>
      </c>
      <c r="B927" s="3">
        <v>45780</v>
      </c>
      <c r="C927" s="3">
        <v>45786</v>
      </c>
      <c r="D927" t="s">
        <v>246</v>
      </c>
      <c r="E927" t="s">
        <v>513</v>
      </c>
      <c r="F927" t="s">
        <v>20</v>
      </c>
      <c r="G927" t="s">
        <v>90</v>
      </c>
      <c r="H927" t="s">
        <v>91</v>
      </c>
      <c r="I927" t="s">
        <v>23</v>
      </c>
      <c r="J927" t="s">
        <v>24</v>
      </c>
      <c r="K927" t="s">
        <v>224</v>
      </c>
      <c r="L927" t="s">
        <v>1536</v>
      </c>
      <c r="M927" s="1">
        <v>8559.7000000000007</v>
      </c>
      <c r="N927">
        <v>7</v>
      </c>
      <c r="O927" s="2">
        <v>0.25</v>
      </c>
      <c r="P927" s="1">
        <v>581.69000000000005</v>
      </c>
      <c r="Q927" t="s">
        <v>115</v>
      </c>
      <c r="R927" t="s">
        <v>120</v>
      </c>
    </row>
    <row r="928" spans="1:18" x14ac:dyDescent="0.3">
      <c r="A928">
        <v>1927</v>
      </c>
      <c r="B928" s="3">
        <v>45567</v>
      </c>
      <c r="C928" s="3">
        <v>45572</v>
      </c>
      <c r="D928" t="s">
        <v>1128</v>
      </c>
      <c r="E928" t="s">
        <v>1388</v>
      </c>
      <c r="F928" t="s">
        <v>20</v>
      </c>
      <c r="G928" t="s">
        <v>21</v>
      </c>
      <c r="H928" t="s">
        <v>22</v>
      </c>
      <c r="I928" t="s">
        <v>23</v>
      </c>
      <c r="J928" t="s">
        <v>64</v>
      </c>
      <c r="K928" t="s">
        <v>65</v>
      </c>
      <c r="L928" t="s">
        <v>1537</v>
      </c>
      <c r="M928" s="1">
        <v>11960.76</v>
      </c>
      <c r="N928">
        <v>7</v>
      </c>
      <c r="O928" s="2">
        <v>0.25</v>
      </c>
      <c r="P928" s="1">
        <v>930.73</v>
      </c>
      <c r="Q928" t="s">
        <v>67</v>
      </c>
      <c r="R928" t="s">
        <v>39</v>
      </c>
    </row>
    <row r="929" spans="1:18" x14ac:dyDescent="0.3">
      <c r="A929">
        <v>1928</v>
      </c>
      <c r="B929" s="3">
        <v>45930</v>
      </c>
      <c r="C929" s="3">
        <v>45931</v>
      </c>
      <c r="D929" t="s">
        <v>199</v>
      </c>
      <c r="E929" t="s">
        <v>841</v>
      </c>
      <c r="F929" t="s">
        <v>31</v>
      </c>
      <c r="G929" t="s">
        <v>118</v>
      </c>
      <c r="H929" t="s">
        <v>118</v>
      </c>
      <c r="I929" t="s">
        <v>34</v>
      </c>
      <c r="J929" t="s">
        <v>24</v>
      </c>
      <c r="K929" t="s">
        <v>224</v>
      </c>
      <c r="L929" t="s">
        <v>1538</v>
      </c>
      <c r="M929" s="1">
        <v>52351.53</v>
      </c>
      <c r="N929">
        <v>4</v>
      </c>
      <c r="O929" s="2">
        <v>0.25</v>
      </c>
      <c r="P929" s="1">
        <v>4813.37</v>
      </c>
      <c r="Q929" t="s">
        <v>74</v>
      </c>
      <c r="R929" t="s">
        <v>28</v>
      </c>
    </row>
    <row r="930" spans="1:18" x14ac:dyDescent="0.3">
      <c r="A930">
        <v>1929</v>
      </c>
      <c r="B930" s="3">
        <v>45548</v>
      </c>
      <c r="C930" s="3">
        <v>45553</v>
      </c>
      <c r="D930" t="s">
        <v>971</v>
      </c>
      <c r="E930" t="s">
        <v>519</v>
      </c>
      <c r="F930" t="s">
        <v>20</v>
      </c>
      <c r="G930" t="s">
        <v>56</v>
      </c>
      <c r="H930" t="s">
        <v>57</v>
      </c>
      <c r="I930" t="s">
        <v>58</v>
      </c>
      <c r="J930" t="s">
        <v>64</v>
      </c>
      <c r="K930" t="s">
        <v>104</v>
      </c>
      <c r="L930" t="s">
        <v>1539</v>
      </c>
      <c r="M930" s="1">
        <v>25078.49</v>
      </c>
      <c r="N930">
        <v>4</v>
      </c>
      <c r="O930" s="2">
        <v>0.1</v>
      </c>
      <c r="P930" s="1">
        <v>3139.45</v>
      </c>
      <c r="Q930" t="s">
        <v>115</v>
      </c>
      <c r="R930" t="s">
        <v>39</v>
      </c>
    </row>
    <row r="931" spans="1:18" x14ac:dyDescent="0.3">
      <c r="A931">
        <v>1930</v>
      </c>
      <c r="B931" s="3">
        <v>45950</v>
      </c>
      <c r="C931" s="3">
        <v>45955</v>
      </c>
      <c r="D931" t="s">
        <v>761</v>
      </c>
      <c r="E931" t="s">
        <v>441</v>
      </c>
      <c r="F931" t="s">
        <v>20</v>
      </c>
      <c r="G931" t="s">
        <v>85</v>
      </c>
      <c r="H931" t="s">
        <v>86</v>
      </c>
      <c r="I931" t="s">
        <v>49</v>
      </c>
      <c r="J931" t="s">
        <v>24</v>
      </c>
      <c r="K931" t="s">
        <v>50</v>
      </c>
      <c r="L931" t="s">
        <v>1540</v>
      </c>
      <c r="M931" s="1">
        <v>50543.03</v>
      </c>
      <c r="N931">
        <v>5</v>
      </c>
      <c r="O931" s="2">
        <v>0</v>
      </c>
      <c r="P931" s="1">
        <v>12615.59</v>
      </c>
      <c r="Q931" t="s">
        <v>115</v>
      </c>
      <c r="R931" t="s">
        <v>39</v>
      </c>
    </row>
    <row r="932" spans="1:18" x14ac:dyDescent="0.3">
      <c r="A932">
        <v>1931</v>
      </c>
      <c r="B932" s="3">
        <v>45369</v>
      </c>
      <c r="C932" s="3">
        <v>45371</v>
      </c>
      <c r="D932" t="s">
        <v>142</v>
      </c>
      <c r="E932" t="s">
        <v>998</v>
      </c>
      <c r="F932" t="s">
        <v>46</v>
      </c>
      <c r="G932" t="s">
        <v>32</v>
      </c>
      <c r="H932" t="s">
        <v>33</v>
      </c>
      <c r="I932" t="s">
        <v>34</v>
      </c>
      <c r="J932" t="s">
        <v>35</v>
      </c>
      <c r="K932" t="s">
        <v>129</v>
      </c>
      <c r="L932" t="s">
        <v>1541</v>
      </c>
      <c r="M932" s="1">
        <v>41747.83</v>
      </c>
      <c r="N932">
        <v>3</v>
      </c>
      <c r="O932" s="2">
        <v>0.15</v>
      </c>
      <c r="P932" s="1">
        <v>5856.61</v>
      </c>
      <c r="Q932" t="s">
        <v>27</v>
      </c>
      <c r="R932" t="s">
        <v>53</v>
      </c>
    </row>
    <row r="933" spans="1:18" x14ac:dyDescent="0.3">
      <c r="A933">
        <v>1932</v>
      </c>
      <c r="B933" s="3">
        <v>45842</v>
      </c>
      <c r="C933" s="3">
        <v>45844</v>
      </c>
      <c r="D933" t="s">
        <v>314</v>
      </c>
      <c r="E933" t="s">
        <v>1132</v>
      </c>
      <c r="F933" t="s">
        <v>46</v>
      </c>
      <c r="G933" t="s">
        <v>112</v>
      </c>
      <c r="H933" t="s">
        <v>113</v>
      </c>
      <c r="I933" t="s">
        <v>49</v>
      </c>
      <c r="J933" t="s">
        <v>64</v>
      </c>
      <c r="K933" t="s">
        <v>104</v>
      </c>
      <c r="L933" t="s">
        <v>1542</v>
      </c>
      <c r="M933" s="1">
        <v>63337.02</v>
      </c>
      <c r="N933">
        <v>7</v>
      </c>
      <c r="O933" s="2">
        <v>0.05</v>
      </c>
      <c r="P933" s="1">
        <v>7363.78</v>
      </c>
      <c r="Q933" t="s">
        <v>27</v>
      </c>
      <c r="R933" t="s">
        <v>120</v>
      </c>
    </row>
    <row r="934" spans="1:18" x14ac:dyDescent="0.3">
      <c r="A934">
        <v>1933</v>
      </c>
      <c r="B934" s="3">
        <v>45503</v>
      </c>
      <c r="C934" s="3">
        <v>45504</v>
      </c>
      <c r="D934" t="s">
        <v>351</v>
      </c>
      <c r="E934" t="s">
        <v>723</v>
      </c>
      <c r="F934" t="s">
        <v>31</v>
      </c>
      <c r="G934" t="s">
        <v>32</v>
      </c>
      <c r="H934" t="s">
        <v>33</v>
      </c>
      <c r="I934" t="s">
        <v>34</v>
      </c>
      <c r="J934" t="s">
        <v>24</v>
      </c>
      <c r="K934" t="s">
        <v>212</v>
      </c>
      <c r="L934" t="s">
        <v>1543</v>
      </c>
      <c r="M934" s="1">
        <v>68486.429999999993</v>
      </c>
      <c r="N934">
        <v>4</v>
      </c>
      <c r="O934" s="2">
        <v>0.15</v>
      </c>
      <c r="P934" s="1">
        <v>13105.73</v>
      </c>
      <c r="Q934" t="s">
        <v>38</v>
      </c>
      <c r="R934" t="s">
        <v>53</v>
      </c>
    </row>
    <row r="935" spans="1:18" x14ac:dyDescent="0.3">
      <c r="A935">
        <v>1934</v>
      </c>
      <c r="B935" s="3">
        <v>45323</v>
      </c>
      <c r="C935" s="3">
        <v>45329</v>
      </c>
      <c r="D935" t="s">
        <v>140</v>
      </c>
      <c r="E935" t="s">
        <v>397</v>
      </c>
      <c r="F935" t="s">
        <v>31</v>
      </c>
      <c r="G935" t="s">
        <v>112</v>
      </c>
      <c r="H935" t="s">
        <v>113</v>
      </c>
      <c r="I935" t="s">
        <v>49</v>
      </c>
      <c r="J935" t="s">
        <v>64</v>
      </c>
      <c r="K935" t="s">
        <v>80</v>
      </c>
      <c r="L935" t="s">
        <v>1544</v>
      </c>
      <c r="M935" s="1">
        <v>8838.2800000000007</v>
      </c>
      <c r="N935">
        <v>5</v>
      </c>
      <c r="O935" s="2">
        <v>0.15</v>
      </c>
      <c r="P935" s="1">
        <v>1896.59</v>
      </c>
      <c r="Q935" t="s">
        <v>67</v>
      </c>
      <c r="R935" t="s">
        <v>28</v>
      </c>
    </row>
    <row r="936" spans="1:18" x14ac:dyDescent="0.3">
      <c r="A936">
        <v>1935</v>
      </c>
      <c r="B936" s="3">
        <v>45762</v>
      </c>
      <c r="C936" s="3">
        <v>45767</v>
      </c>
      <c r="D936" t="s">
        <v>170</v>
      </c>
      <c r="E936" t="s">
        <v>1180</v>
      </c>
      <c r="F936" t="s">
        <v>20</v>
      </c>
      <c r="G936" t="s">
        <v>32</v>
      </c>
      <c r="H936" t="s">
        <v>33</v>
      </c>
      <c r="I936" t="s">
        <v>34</v>
      </c>
      <c r="J936" t="s">
        <v>24</v>
      </c>
      <c r="K936" t="s">
        <v>50</v>
      </c>
      <c r="L936" t="s">
        <v>1545</v>
      </c>
      <c r="M936" s="1">
        <v>86393.33</v>
      </c>
      <c r="N936">
        <v>1</v>
      </c>
      <c r="O936" s="2">
        <v>0.1</v>
      </c>
      <c r="P936" s="1">
        <v>9078.08</v>
      </c>
      <c r="Q936" t="s">
        <v>61</v>
      </c>
      <c r="R936" t="s">
        <v>53</v>
      </c>
    </row>
    <row r="937" spans="1:18" x14ac:dyDescent="0.3">
      <c r="A937">
        <v>1936</v>
      </c>
      <c r="B937" s="3">
        <v>45741</v>
      </c>
      <c r="C937" s="3">
        <v>45747</v>
      </c>
      <c r="D937" t="s">
        <v>822</v>
      </c>
      <c r="E937" t="s">
        <v>990</v>
      </c>
      <c r="F937" t="s">
        <v>46</v>
      </c>
      <c r="G937" t="s">
        <v>32</v>
      </c>
      <c r="H937" t="s">
        <v>33</v>
      </c>
      <c r="I937" t="s">
        <v>34</v>
      </c>
      <c r="J937" t="s">
        <v>24</v>
      </c>
      <c r="K937" t="s">
        <v>50</v>
      </c>
      <c r="L937" t="s">
        <v>1546</v>
      </c>
      <c r="M937" s="1">
        <v>44959.76</v>
      </c>
      <c r="N937">
        <v>5</v>
      </c>
      <c r="O937" s="2">
        <v>0.15</v>
      </c>
      <c r="P937" s="1">
        <v>2131.04</v>
      </c>
      <c r="Q937" t="s">
        <v>38</v>
      </c>
      <c r="R937" t="s">
        <v>53</v>
      </c>
    </row>
    <row r="938" spans="1:18" x14ac:dyDescent="0.3">
      <c r="A938">
        <v>1937</v>
      </c>
      <c r="B938" s="3">
        <v>45388</v>
      </c>
      <c r="C938" s="3">
        <v>45389</v>
      </c>
      <c r="D938" t="s">
        <v>918</v>
      </c>
      <c r="E938" t="s">
        <v>1041</v>
      </c>
      <c r="F938" t="s">
        <v>20</v>
      </c>
      <c r="G938" t="s">
        <v>70</v>
      </c>
      <c r="H938" t="s">
        <v>71</v>
      </c>
      <c r="I938" t="s">
        <v>58</v>
      </c>
      <c r="J938" t="s">
        <v>35</v>
      </c>
      <c r="K938" t="s">
        <v>42</v>
      </c>
      <c r="L938" t="s">
        <v>1547</v>
      </c>
      <c r="M938" s="1">
        <v>35107.33</v>
      </c>
      <c r="N938">
        <v>6</v>
      </c>
      <c r="O938" s="2">
        <v>0.05</v>
      </c>
      <c r="P938" s="1">
        <v>9749.98</v>
      </c>
      <c r="Q938" t="s">
        <v>38</v>
      </c>
      <c r="R938" t="s">
        <v>28</v>
      </c>
    </row>
    <row r="939" spans="1:18" x14ac:dyDescent="0.3">
      <c r="A939">
        <v>1938</v>
      </c>
      <c r="B939" s="3">
        <v>45679</v>
      </c>
      <c r="C939" s="3">
        <v>45685</v>
      </c>
      <c r="D939" t="s">
        <v>223</v>
      </c>
      <c r="E939" t="s">
        <v>306</v>
      </c>
      <c r="F939" t="s">
        <v>31</v>
      </c>
      <c r="G939" t="s">
        <v>47</v>
      </c>
      <c r="H939" t="s">
        <v>48</v>
      </c>
      <c r="I939" t="s">
        <v>49</v>
      </c>
      <c r="J939" t="s">
        <v>35</v>
      </c>
      <c r="K939" t="s">
        <v>129</v>
      </c>
      <c r="L939" t="s">
        <v>1186</v>
      </c>
      <c r="M939" s="1">
        <v>51546.67</v>
      </c>
      <c r="N939">
        <v>7</v>
      </c>
      <c r="O939" s="2">
        <v>0.05</v>
      </c>
      <c r="P939" s="1">
        <v>11596.14</v>
      </c>
      <c r="Q939" t="s">
        <v>67</v>
      </c>
      <c r="R939" t="s">
        <v>39</v>
      </c>
    </row>
    <row r="940" spans="1:18" x14ac:dyDescent="0.3">
      <c r="A940">
        <v>1939</v>
      </c>
      <c r="B940" s="3">
        <v>45761</v>
      </c>
      <c r="C940" s="3">
        <v>45764</v>
      </c>
      <c r="D940" t="s">
        <v>391</v>
      </c>
      <c r="E940" t="s">
        <v>1388</v>
      </c>
      <c r="F940" t="s">
        <v>31</v>
      </c>
      <c r="G940" t="s">
        <v>118</v>
      </c>
      <c r="H940" t="s">
        <v>118</v>
      </c>
      <c r="I940" t="s">
        <v>34</v>
      </c>
      <c r="J940" t="s">
        <v>64</v>
      </c>
      <c r="K940" t="s">
        <v>80</v>
      </c>
      <c r="L940" t="s">
        <v>1548</v>
      </c>
      <c r="M940" s="1">
        <v>37911.370000000003</v>
      </c>
      <c r="N940">
        <v>8</v>
      </c>
      <c r="O940" s="2">
        <v>0.3</v>
      </c>
      <c r="P940" s="1">
        <v>-358.98</v>
      </c>
      <c r="Q940" t="s">
        <v>61</v>
      </c>
      <c r="R940" t="s">
        <v>28</v>
      </c>
    </row>
    <row r="941" spans="1:18" x14ac:dyDescent="0.3">
      <c r="A941">
        <v>1940</v>
      </c>
      <c r="B941" s="3">
        <v>45945</v>
      </c>
      <c r="C941" s="3">
        <v>45946</v>
      </c>
      <c r="D941" t="s">
        <v>361</v>
      </c>
      <c r="E941" t="s">
        <v>1245</v>
      </c>
      <c r="F941" t="s">
        <v>20</v>
      </c>
      <c r="G941" t="s">
        <v>107</v>
      </c>
      <c r="H941" t="s">
        <v>108</v>
      </c>
      <c r="I941" t="s">
        <v>34</v>
      </c>
      <c r="J941" t="s">
        <v>24</v>
      </c>
      <c r="K941" t="s">
        <v>72</v>
      </c>
      <c r="L941" t="s">
        <v>1549</v>
      </c>
      <c r="M941" s="1">
        <v>61798.2</v>
      </c>
      <c r="N941">
        <v>7</v>
      </c>
      <c r="O941" s="2">
        <v>0.2</v>
      </c>
      <c r="P941" s="1">
        <v>10355.02</v>
      </c>
      <c r="Q941" t="s">
        <v>67</v>
      </c>
      <c r="R941" t="s">
        <v>120</v>
      </c>
    </row>
    <row r="942" spans="1:18" x14ac:dyDescent="0.3">
      <c r="A942">
        <v>1941</v>
      </c>
      <c r="B942" s="3">
        <v>45601</v>
      </c>
      <c r="C942" s="3">
        <v>45605</v>
      </c>
      <c r="D942" t="s">
        <v>251</v>
      </c>
      <c r="E942" t="s">
        <v>454</v>
      </c>
      <c r="F942" t="s">
        <v>20</v>
      </c>
      <c r="G942" t="s">
        <v>56</v>
      </c>
      <c r="H942" t="s">
        <v>57</v>
      </c>
      <c r="I942" t="s">
        <v>58</v>
      </c>
      <c r="J942" t="s">
        <v>64</v>
      </c>
      <c r="K942" t="s">
        <v>80</v>
      </c>
      <c r="L942" t="s">
        <v>1550</v>
      </c>
      <c r="M942" s="1">
        <v>84163.1</v>
      </c>
      <c r="N942">
        <v>10</v>
      </c>
      <c r="O942" s="2">
        <v>0.25</v>
      </c>
      <c r="P942" s="1">
        <v>12695.65</v>
      </c>
      <c r="Q942" t="s">
        <v>52</v>
      </c>
      <c r="R942" t="s">
        <v>28</v>
      </c>
    </row>
    <row r="943" spans="1:18" x14ac:dyDescent="0.3">
      <c r="A943">
        <v>1942</v>
      </c>
      <c r="B943" s="3">
        <v>45655</v>
      </c>
      <c r="C943" s="3">
        <v>45657</v>
      </c>
      <c r="D943" t="s">
        <v>177</v>
      </c>
      <c r="E943" t="s">
        <v>191</v>
      </c>
      <c r="F943" t="s">
        <v>46</v>
      </c>
      <c r="G943" t="s">
        <v>90</v>
      </c>
      <c r="H943" t="s">
        <v>91</v>
      </c>
      <c r="I943" t="s">
        <v>23</v>
      </c>
      <c r="J943" t="s">
        <v>35</v>
      </c>
      <c r="K943" t="s">
        <v>129</v>
      </c>
      <c r="L943" t="s">
        <v>590</v>
      </c>
      <c r="M943" s="1">
        <v>15232.85</v>
      </c>
      <c r="N943">
        <v>6</v>
      </c>
      <c r="O943" s="2">
        <v>0</v>
      </c>
      <c r="P943" s="1">
        <v>2754.05</v>
      </c>
      <c r="Q943" t="s">
        <v>27</v>
      </c>
      <c r="R943" t="s">
        <v>53</v>
      </c>
    </row>
    <row r="944" spans="1:18" x14ac:dyDescent="0.3">
      <c r="A944">
        <v>1943</v>
      </c>
      <c r="B944" s="3">
        <v>45707</v>
      </c>
      <c r="C944" s="3">
        <v>45709</v>
      </c>
      <c r="D944" t="s">
        <v>1069</v>
      </c>
      <c r="E944" t="s">
        <v>456</v>
      </c>
      <c r="F944" t="s">
        <v>20</v>
      </c>
      <c r="G944" t="s">
        <v>70</v>
      </c>
      <c r="H944" t="s">
        <v>71</v>
      </c>
      <c r="I944" t="s">
        <v>58</v>
      </c>
      <c r="J944" t="s">
        <v>35</v>
      </c>
      <c r="K944" t="s">
        <v>42</v>
      </c>
      <c r="L944" t="s">
        <v>1551</v>
      </c>
      <c r="M944" s="1">
        <v>76258.789999999994</v>
      </c>
      <c r="N944">
        <v>4</v>
      </c>
      <c r="O944" s="2">
        <v>0.3</v>
      </c>
      <c r="P944" s="1">
        <v>5640.85</v>
      </c>
      <c r="Q944" t="s">
        <v>115</v>
      </c>
      <c r="R944" t="s">
        <v>28</v>
      </c>
    </row>
    <row r="945" spans="1:18" x14ac:dyDescent="0.3">
      <c r="A945">
        <v>1944</v>
      </c>
      <c r="B945" s="3">
        <v>45719</v>
      </c>
      <c r="C945" s="3">
        <v>45722</v>
      </c>
      <c r="D945" t="s">
        <v>1110</v>
      </c>
      <c r="E945" t="s">
        <v>165</v>
      </c>
      <c r="F945" t="s">
        <v>20</v>
      </c>
      <c r="G945" t="s">
        <v>102</v>
      </c>
      <c r="H945" t="s">
        <v>103</v>
      </c>
      <c r="I945" t="s">
        <v>58</v>
      </c>
      <c r="J945" t="s">
        <v>35</v>
      </c>
      <c r="K945" t="s">
        <v>129</v>
      </c>
      <c r="L945" t="s">
        <v>1552</v>
      </c>
      <c r="M945" s="1">
        <v>59665.120000000003</v>
      </c>
      <c r="N945">
        <v>7</v>
      </c>
      <c r="O945" s="2">
        <v>0.05</v>
      </c>
      <c r="P945" s="1">
        <v>13097.68</v>
      </c>
      <c r="Q945" t="s">
        <v>82</v>
      </c>
      <c r="R945" t="s">
        <v>28</v>
      </c>
    </row>
    <row r="946" spans="1:18" x14ac:dyDescent="0.3">
      <c r="A946">
        <v>1945</v>
      </c>
      <c r="B946" s="3">
        <v>45432</v>
      </c>
      <c r="C946" s="3">
        <v>45437</v>
      </c>
      <c r="D946" t="s">
        <v>375</v>
      </c>
      <c r="E946" t="s">
        <v>1315</v>
      </c>
      <c r="F946" t="s">
        <v>46</v>
      </c>
      <c r="G946" t="s">
        <v>70</v>
      </c>
      <c r="H946" t="s">
        <v>71</v>
      </c>
      <c r="I946" t="s">
        <v>58</v>
      </c>
      <c r="J946" t="s">
        <v>64</v>
      </c>
      <c r="K946" t="s">
        <v>157</v>
      </c>
      <c r="L946" t="s">
        <v>1553</v>
      </c>
      <c r="M946" s="1">
        <v>63755.39</v>
      </c>
      <c r="N946">
        <v>9</v>
      </c>
      <c r="O946" s="2">
        <v>0</v>
      </c>
      <c r="P946" s="1">
        <v>17829.330000000002</v>
      </c>
      <c r="Q946" t="s">
        <v>38</v>
      </c>
      <c r="R946" t="s">
        <v>39</v>
      </c>
    </row>
    <row r="947" spans="1:18" x14ac:dyDescent="0.3">
      <c r="A947">
        <v>1946</v>
      </c>
      <c r="B947" s="3">
        <v>45406</v>
      </c>
      <c r="C947" s="3">
        <v>45412</v>
      </c>
      <c r="D947" t="s">
        <v>68</v>
      </c>
      <c r="E947" t="s">
        <v>323</v>
      </c>
      <c r="F947" t="s">
        <v>20</v>
      </c>
      <c r="G947" t="s">
        <v>90</v>
      </c>
      <c r="H947" t="s">
        <v>91</v>
      </c>
      <c r="I947" t="s">
        <v>23</v>
      </c>
      <c r="J947" t="s">
        <v>64</v>
      </c>
      <c r="K947" t="s">
        <v>104</v>
      </c>
      <c r="L947" t="s">
        <v>1554</v>
      </c>
      <c r="M947" s="1">
        <v>41687.980000000003</v>
      </c>
      <c r="N947">
        <v>9</v>
      </c>
      <c r="O947" s="2">
        <v>0.25</v>
      </c>
      <c r="P947" s="1">
        <v>6769.7</v>
      </c>
      <c r="Q947" t="s">
        <v>67</v>
      </c>
      <c r="R947" t="s">
        <v>39</v>
      </c>
    </row>
    <row r="948" spans="1:18" x14ac:dyDescent="0.3">
      <c r="A948">
        <v>1947</v>
      </c>
      <c r="B948" s="3">
        <v>45741</v>
      </c>
      <c r="C948" s="3">
        <v>45742</v>
      </c>
      <c r="D948" t="s">
        <v>1020</v>
      </c>
      <c r="E948" t="s">
        <v>536</v>
      </c>
      <c r="F948" t="s">
        <v>46</v>
      </c>
      <c r="G948" t="s">
        <v>56</v>
      </c>
      <c r="H948" t="s">
        <v>57</v>
      </c>
      <c r="I948" t="s">
        <v>58</v>
      </c>
      <c r="J948" t="s">
        <v>35</v>
      </c>
      <c r="K948" t="s">
        <v>42</v>
      </c>
      <c r="L948" t="s">
        <v>1555</v>
      </c>
      <c r="M948" s="1">
        <v>8326.07</v>
      </c>
      <c r="N948">
        <v>9</v>
      </c>
      <c r="O948" s="2">
        <v>0</v>
      </c>
      <c r="P948" s="1">
        <v>1679.84</v>
      </c>
      <c r="Q948" t="s">
        <v>115</v>
      </c>
      <c r="R948" t="s">
        <v>39</v>
      </c>
    </row>
    <row r="949" spans="1:18" x14ac:dyDescent="0.3">
      <c r="A949">
        <v>1948</v>
      </c>
      <c r="B949" s="3">
        <v>45338</v>
      </c>
      <c r="C949" s="3">
        <v>45341</v>
      </c>
      <c r="D949" t="s">
        <v>283</v>
      </c>
      <c r="E949" t="s">
        <v>669</v>
      </c>
      <c r="F949" t="s">
        <v>20</v>
      </c>
      <c r="G949" t="s">
        <v>56</v>
      </c>
      <c r="H949" t="s">
        <v>57</v>
      </c>
      <c r="I949" t="s">
        <v>58</v>
      </c>
      <c r="J949" t="s">
        <v>64</v>
      </c>
      <c r="K949" t="s">
        <v>157</v>
      </c>
      <c r="L949" t="s">
        <v>1556</v>
      </c>
      <c r="M949" s="1">
        <v>59727.87</v>
      </c>
      <c r="N949">
        <v>7</v>
      </c>
      <c r="O949" s="2">
        <v>0.05</v>
      </c>
      <c r="P949" s="1">
        <v>10422.49</v>
      </c>
      <c r="Q949" t="s">
        <v>61</v>
      </c>
      <c r="R949" t="s">
        <v>28</v>
      </c>
    </row>
    <row r="950" spans="1:18" x14ac:dyDescent="0.3">
      <c r="A950">
        <v>1949</v>
      </c>
      <c r="B950" s="3">
        <v>45417</v>
      </c>
      <c r="C950" s="3">
        <v>45420</v>
      </c>
      <c r="D950" t="s">
        <v>1286</v>
      </c>
      <c r="E950" t="s">
        <v>117</v>
      </c>
      <c r="F950" t="s">
        <v>20</v>
      </c>
      <c r="G950" t="s">
        <v>56</v>
      </c>
      <c r="H950" t="s">
        <v>57</v>
      </c>
      <c r="I950" t="s">
        <v>58</v>
      </c>
      <c r="J950" t="s">
        <v>64</v>
      </c>
      <c r="K950" t="s">
        <v>65</v>
      </c>
      <c r="L950" t="s">
        <v>1557</v>
      </c>
      <c r="M950" s="1">
        <v>60867.11</v>
      </c>
      <c r="N950">
        <v>1</v>
      </c>
      <c r="O950" s="2">
        <v>0.3</v>
      </c>
      <c r="P950" s="1">
        <v>10099.48</v>
      </c>
      <c r="Q950" t="s">
        <v>82</v>
      </c>
      <c r="R950" t="s">
        <v>53</v>
      </c>
    </row>
    <row r="951" spans="1:18" x14ac:dyDescent="0.3">
      <c r="A951">
        <v>1950</v>
      </c>
      <c r="B951" s="3">
        <v>45741</v>
      </c>
      <c r="C951" s="3">
        <v>45745</v>
      </c>
      <c r="D951" t="s">
        <v>702</v>
      </c>
      <c r="E951" t="s">
        <v>675</v>
      </c>
      <c r="F951" t="s">
        <v>46</v>
      </c>
      <c r="G951" t="s">
        <v>70</v>
      </c>
      <c r="H951" t="s">
        <v>71</v>
      </c>
      <c r="I951" t="s">
        <v>58</v>
      </c>
      <c r="J951" t="s">
        <v>35</v>
      </c>
      <c r="K951" t="s">
        <v>129</v>
      </c>
      <c r="L951" t="s">
        <v>1558</v>
      </c>
      <c r="M951" s="1">
        <v>51052.22</v>
      </c>
      <c r="N951">
        <v>3</v>
      </c>
      <c r="O951" s="2">
        <v>0.25</v>
      </c>
      <c r="P951" s="1">
        <v>4111.4799999999996</v>
      </c>
      <c r="Q951" t="s">
        <v>82</v>
      </c>
      <c r="R951" t="s">
        <v>28</v>
      </c>
    </row>
    <row r="952" spans="1:18" x14ac:dyDescent="0.3">
      <c r="A952">
        <v>1951</v>
      </c>
      <c r="B952" s="3">
        <v>45428</v>
      </c>
      <c r="C952" s="3">
        <v>45432</v>
      </c>
      <c r="D952" t="s">
        <v>318</v>
      </c>
      <c r="E952" t="s">
        <v>365</v>
      </c>
      <c r="F952" t="s">
        <v>20</v>
      </c>
      <c r="G952" t="s">
        <v>107</v>
      </c>
      <c r="H952" t="s">
        <v>108</v>
      </c>
      <c r="I952" t="s">
        <v>34</v>
      </c>
      <c r="J952" t="s">
        <v>35</v>
      </c>
      <c r="K952" t="s">
        <v>59</v>
      </c>
      <c r="L952" t="s">
        <v>1559</v>
      </c>
      <c r="M952" s="1">
        <v>65765.13</v>
      </c>
      <c r="N952">
        <v>1</v>
      </c>
      <c r="O952" s="2">
        <v>0.2</v>
      </c>
      <c r="P952" s="1">
        <v>7434.26</v>
      </c>
      <c r="Q952" t="s">
        <v>115</v>
      </c>
      <c r="R952" t="s">
        <v>39</v>
      </c>
    </row>
    <row r="953" spans="1:18" x14ac:dyDescent="0.3">
      <c r="A953">
        <v>1952</v>
      </c>
      <c r="B953" s="3">
        <v>45492</v>
      </c>
      <c r="C953" s="3">
        <v>45495</v>
      </c>
      <c r="D953" t="s">
        <v>361</v>
      </c>
      <c r="E953" t="s">
        <v>1560</v>
      </c>
      <c r="F953" t="s">
        <v>20</v>
      </c>
      <c r="G953" t="s">
        <v>70</v>
      </c>
      <c r="H953" t="s">
        <v>71</v>
      </c>
      <c r="I953" t="s">
        <v>58</v>
      </c>
      <c r="J953" t="s">
        <v>64</v>
      </c>
      <c r="K953" t="s">
        <v>65</v>
      </c>
      <c r="L953" t="s">
        <v>1561</v>
      </c>
      <c r="M953" s="1">
        <v>8947.56</v>
      </c>
      <c r="N953">
        <v>5</v>
      </c>
      <c r="O953" s="2">
        <v>0</v>
      </c>
      <c r="P953" s="1">
        <v>1752.12</v>
      </c>
      <c r="Q953" t="s">
        <v>52</v>
      </c>
      <c r="R953" t="s">
        <v>39</v>
      </c>
    </row>
    <row r="954" spans="1:18" x14ac:dyDescent="0.3">
      <c r="A954">
        <v>1953</v>
      </c>
      <c r="B954" s="3">
        <v>45336</v>
      </c>
      <c r="C954" s="3">
        <v>45340</v>
      </c>
      <c r="D954" t="s">
        <v>1387</v>
      </c>
      <c r="E954" t="s">
        <v>1562</v>
      </c>
      <c r="F954" t="s">
        <v>31</v>
      </c>
      <c r="G954" t="s">
        <v>112</v>
      </c>
      <c r="H954" t="s">
        <v>113</v>
      </c>
      <c r="I954" t="s">
        <v>49</v>
      </c>
      <c r="J954" t="s">
        <v>35</v>
      </c>
      <c r="K954" t="s">
        <v>59</v>
      </c>
      <c r="L954" t="s">
        <v>1563</v>
      </c>
      <c r="M954" s="1">
        <v>19794.48</v>
      </c>
      <c r="N954">
        <v>8</v>
      </c>
      <c r="O954" s="2">
        <v>0.2</v>
      </c>
      <c r="P954" s="1">
        <v>4351.4399999999996</v>
      </c>
      <c r="Q954" t="s">
        <v>38</v>
      </c>
      <c r="R954" t="s">
        <v>39</v>
      </c>
    </row>
    <row r="955" spans="1:18" x14ac:dyDescent="0.3">
      <c r="A955">
        <v>1954</v>
      </c>
      <c r="B955" s="3">
        <v>45963</v>
      </c>
      <c r="C955" s="3">
        <v>45969</v>
      </c>
      <c r="D955" t="s">
        <v>680</v>
      </c>
      <c r="E955" t="s">
        <v>589</v>
      </c>
      <c r="F955" t="s">
        <v>46</v>
      </c>
      <c r="G955" t="s">
        <v>95</v>
      </c>
      <c r="H955" t="s">
        <v>22</v>
      </c>
      <c r="I955" t="s">
        <v>23</v>
      </c>
      <c r="J955" t="s">
        <v>35</v>
      </c>
      <c r="K955" t="s">
        <v>59</v>
      </c>
      <c r="L955" t="s">
        <v>1564</v>
      </c>
      <c r="M955" s="1">
        <v>14336.63</v>
      </c>
      <c r="N955">
        <v>2</v>
      </c>
      <c r="O955" s="2">
        <v>0.25</v>
      </c>
      <c r="P955" s="1">
        <v>-175.64</v>
      </c>
      <c r="Q955" t="s">
        <v>27</v>
      </c>
      <c r="R955" t="s">
        <v>39</v>
      </c>
    </row>
    <row r="956" spans="1:18" x14ac:dyDescent="0.3">
      <c r="A956">
        <v>1955</v>
      </c>
      <c r="B956" s="3">
        <v>45980</v>
      </c>
      <c r="C956" s="3">
        <v>45986</v>
      </c>
      <c r="D956" t="s">
        <v>173</v>
      </c>
      <c r="E956" t="s">
        <v>484</v>
      </c>
      <c r="F956" t="s">
        <v>31</v>
      </c>
      <c r="G956" t="s">
        <v>102</v>
      </c>
      <c r="H956" t="s">
        <v>103</v>
      </c>
      <c r="I956" t="s">
        <v>58</v>
      </c>
      <c r="J956" t="s">
        <v>35</v>
      </c>
      <c r="K956" t="s">
        <v>59</v>
      </c>
      <c r="L956" t="s">
        <v>1565</v>
      </c>
      <c r="M956" s="1">
        <v>85622.61</v>
      </c>
      <c r="N956">
        <v>5</v>
      </c>
      <c r="O956" s="2">
        <v>0.2</v>
      </c>
      <c r="P956" s="1">
        <v>3725.66</v>
      </c>
      <c r="Q956" t="s">
        <v>115</v>
      </c>
      <c r="R956" t="s">
        <v>120</v>
      </c>
    </row>
    <row r="957" spans="1:18" x14ac:dyDescent="0.3">
      <c r="A957">
        <v>1956</v>
      </c>
      <c r="B957" s="3">
        <v>45669</v>
      </c>
      <c r="C957" s="3">
        <v>45670</v>
      </c>
      <c r="D957" t="s">
        <v>297</v>
      </c>
      <c r="E957" t="s">
        <v>592</v>
      </c>
      <c r="F957" t="s">
        <v>31</v>
      </c>
      <c r="G957" t="s">
        <v>118</v>
      </c>
      <c r="H957" t="s">
        <v>118</v>
      </c>
      <c r="I957" t="s">
        <v>34</v>
      </c>
      <c r="J957" t="s">
        <v>24</v>
      </c>
      <c r="K957" t="s">
        <v>72</v>
      </c>
      <c r="L957" t="s">
        <v>1566</v>
      </c>
      <c r="M957" s="1">
        <v>6395.07</v>
      </c>
      <c r="N957">
        <v>3</v>
      </c>
      <c r="O957" s="2">
        <v>0.15</v>
      </c>
      <c r="P957" s="1">
        <v>340.25</v>
      </c>
      <c r="Q957" t="s">
        <v>82</v>
      </c>
      <c r="R957" t="s">
        <v>39</v>
      </c>
    </row>
    <row r="958" spans="1:18" x14ac:dyDescent="0.3">
      <c r="A958">
        <v>1957</v>
      </c>
      <c r="B958" s="3">
        <v>45690</v>
      </c>
      <c r="C958" s="3">
        <v>45696</v>
      </c>
      <c r="D958" t="s">
        <v>277</v>
      </c>
      <c r="E958" t="s">
        <v>1560</v>
      </c>
      <c r="F958" t="s">
        <v>31</v>
      </c>
      <c r="G958" t="s">
        <v>112</v>
      </c>
      <c r="H958" t="s">
        <v>113</v>
      </c>
      <c r="I958" t="s">
        <v>49</v>
      </c>
      <c r="J958" t="s">
        <v>24</v>
      </c>
      <c r="K958" t="s">
        <v>224</v>
      </c>
      <c r="L958" t="s">
        <v>1567</v>
      </c>
      <c r="M958" s="1">
        <v>56366.99</v>
      </c>
      <c r="N958">
        <v>9</v>
      </c>
      <c r="O958" s="2">
        <v>0.3</v>
      </c>
      <c r="P958" s="1">
        <v>9323.83</v>
      </c>
      <c r="Q958" t="s">
        <v>38</v>
      </c>
      <c r="R958" t="s">
        <v>28</v>
      </c>
    </row>
    <row r="959" spans="1:18" x14ac:dyDescent="0.3">
      <c r="A959">
        <v>1958</v>
      </c>
      <c r="B959" s="3">
        <v>45943</v>
      </c>
      <c r="C959" s="3">
        <v>45944</v>
      </c>
      <c r="D959" t="s">
        <v>1260</v>
      </c>
      <c r="E959" t="s">
        <v>634</v>
      </c>
      <c r="F959" t="s">
        <v>31</v>
      </c>
      <c r="G959" t="s">
        <v>85</v>
      </c>
      <c r="H959" t="s">
        <v>86</v>
      </c>
      <c r="I959" t="s">
        <v>49</v>
      </c>
      <c r="J959" t="s">
        <v>64</v>
      </c>
      <c r="K959" t="s">
        <v>65</v>
      </c>
      <c r="L959" t="s">
        <v>1568</v>
      </c>
      <c r="M959" s="1">
        <v>73999.53</v>
      </c>
      <c r="N959">
        <v>1</v>
      </c>
      <c r="O959" s="2">
        <v>0.05</v>
      </c>
      <c r="P959" s="1">
        <v>17762.98</v>
      </c>
      <c r="Q959" t="s">
        <v>52</v>
      </c>
      <c r="R959" t="s">
        <v>28</v>
      </c>
    </row>
    <row r="960" spans="1:18" x14ac:dyDescent="0.3">
      <c r="A960">
        <v>1959</v>
      </c>
      <c r="B960" s="3">
        <v>45658</v>
      </c>
      <c r="C960" s="3">
        <v>45659</v>
      </c>
      <c r="D960" t="s">
        <v>948</v>
      </c>
      <c r="E960" t="s">
        <v>1032</v>
      </c>
      <c r="F960" t="s">
        <v>46</v>
      </c>
      <c r="G960" t="s">
        <v>102</v>
      </c>
      <c r="H960" t="s">
        <v>103</v>
      </c>
      <c r="I960" t="s">
        <v>58</v>
      </c>
      <c r="J960" t="s">
        <v>64</v>
      </c>
      <c r="K960" t="s">
        <v>104</v>
      </c>
      <c r="L960" t="s">
        <v>842</v>
      </c>
      <c r="M960" s="1">
        <v>29954.55</v>
      </c>
      <c r="N960">
        <v>5</v>
      </c>
      <c r="O960" s="2">
        <v>0</v>
      </c>
      <c r="P960" s="1">
        <v>5340.68</v>
      </c>
      <c r="Q960" t="s">
        <v>67</v>
      </c>
      <c r="R960" t="s">
        <v>120</v>
      </c>
    </row>
    <row r="961" spans="1:18" x14ac:dyDescent="0.3">
      <c r="A961">
        <v>1960</v>
      </c>
      <c r="B961" s="3">
        <v>45628</v>
      </c>
      <c r="C961" s="3">
        <v>45633</v>
      </c>
      <c r="D961" t="s">
        <v>62</v>
      </c>
      <c r="E961" t="s">
        <v>1258</v>
      </c>
      <c r="F961" t="s">
        <v>46</v>
      </c>
      <c r="G961" t="s">
        <v>56</v>
      </c>
      <c r="H961" t="s">
        <v>57</v>
      </c>
      <c r="I961" t="s">
        <v>58</v>
      </c>
      <c r="J961" t="s">
        <v>24</v>
      </c>
      <c r="K961" t="s">
        <v>72</v>
      </c>
      <c r="L961" t="s">
        <v>1569</v>
      </c>
      <c r="M961" s="1">
        <v>10451.94</v>
      </c>
      <c r="N961">
        <v>4</v>
      </c>
      <c r="O961" s="2">
        <v>0.15</v>
      </c>
      <c r="P961" s="1">
        <v>2083.69</v>
      </c>
      <c r="Q961" t="s">
        <v>74</v>
      </c>
      <c r="R961" t="s">
        <v>28</v>
      </c>
    </row>
    <row r="962" spans="1:18" x14ac:dyDescent="0.3">
      <c r="A962">
        <v>1961</v>
      </c>
      <c r="B962" s="3">
        <v>45305</v>
      </c>
      <c r="C962" s="3">
        <v>45310</v>
      </c>
      <c r="D962" t="s">
        <v>127</v>
      </c>
      <c r="E962" t="s">
        <v>812</v>
      </c>
      <c r="F962" t="s">
        <v>20</v>
      </c>
      <c r="G962" t="s">
        <v>85</v>
      </c>
      <c r="H962" t="s">
        <v>86</v>
      </c>
      <c r="I962" t="s">
        <v>49</v>
      </c>
      <c r="J962" t="s">
        <v>64</v>
      </c>
      <c r="K962" t="s">
        <v>104</v>
      </c>
      <c r="L962" t="s">
        <v>1570</v>
      </c>
      <c r="M962" s="1">
        <v>73897.58</v>
      </c>
      <c r="N962">
        <v>6</v>
      </c>
      <c r="O962" s="2">
        <v>0.1</v>
      </c>
      <c r="P962" s="1">
        <v>16520.68</v>
      </c>
      <c r="Q962" t="s">
        <v>52</v>
      </c>
      <c r="R962" t="s">
        <v>39</v>
      </c>
    </row>
    <row r="963" spans="1:18" x14ac:dyDescent="0.3">
      <c r="A963">
        <v>1962</v>
      </c>
      <c r="B963" s="3">
        <v>45693</v>
      </c>
      <c r="C963" s="3">
        <v>45698</v>
      </c>
      <c r="D963" t="s">
        <v>183</v>
      </c>
      <c r="E963" t="s">
        <v>1187</v>
      </c>
      <c r="F963" t="s">
        <v>31</v>
      </c>
      <c r="G963" t="s">
        <v>102</v>
      </c>
      <c r="H963" t="s">
        <v>103</v>
      </c>
      <c r="I963" t="s">
        <v>58</v>
      </c>
      <c r="J963" t="s">
        <v>24</v>
      </c>
      <c r="K963" t="s">
        <v>224</v>
      </c>
      <c r="L963" t="s">
        <v>1571</v>
      </c>
      <c r="M963" s="1">
        <v>6255.88</v>
      </c>
      <c r="N963">
        <v>3</v>
      </c>
      <c r="O963" s="2">
        <v>0.15</v>
      </c>
      <c r="P963" s="1">
        <v>1032.1300000000001</v>
      </c>
      <c r="Q963" t="s">
        <v>38</v>
      </c>
      <c r="R963" t="s">
        <v>39</v>
      </c>
    </row>
    <row r="964" spans="1:18" x14ac:dyDescent="0.3">
      <c r="A964">
        <v>1963</v>
      </c>
      <c r="B964" s="3">
        <v>45851</v>
      </c>
      <c r="C964" s="3">
        <v>45854</v>
      </c>
      <c r="D964" t="s">
        <v>264</v>
      </c>
      <c r="E964" t="s">
        <v>260</v>
      </c>
      <c r="F964" t="s">
        <v>20</v>
      </c>
      <c r="G964" t="s">
        <v>56</v>
      </c>
      <c r="H964" t="s">
        <v>57</v>
      </c>
      <c r="I964" t="s">
        <v>58</v>
      </c>
      <c r="J964" t="s">
        <v>64</v>
      </c>
      <c r="K964" t="s">
        <v>80</v>
      </c>
      <c r="L964" t="s">
        <v>1572</v>
      </c>
      <c r="M964" s="1">
        <v>69633.45</v>
      </c>
      <c r="N964">
        <v>7</v>
      </c>
      <c r="O964" s="2">
        <v>0.2</v>
      </c>
      <c r="P964" s="1">
        <v>8515.75</v>
      </c>
      <c r="Q964" t="s">
        <v>115</v>
      </c>
      <c r="R964" t="s">
        <v>39</v>
      </c>
    </row>
    <row r="965" spans="1:18" x14ac:dyDescent="0.3">
      <c r="A965">
        <v>1964</v>
      </c>
      <c r="B965" s="3">
        <v>45785</v>
      </c>
      <c r="C965" s="3">
        <v>45789</v>
      </c>
      <c r="D965" t="s">
        <v>254</v>
      </c>
      <c r="E965" t="s">
        <v>493</v>
      </c>
      <c r="F965" t="s">
        <v>20</v>
      </c>
      <c r="G965" t="s">
        <v>70</v>
      </c>
      <c r="H965" t="s">
        <v>71</v>
      </c>
      <c r="I965" t="s">
        <v>58</v>
      </c>
      <c r="J965" t="s">
        <v>64</v>
      </c>
      <c r="K965" t="s">
        <v>157</v>
      </c>
      <c r="L965" t="s">
        <v>1573</v>
      </c>
      <c r="M965" s="1">
        <v>27852.65</v>
      </c>
      <c r="N965">
        <v>1</v>
      </c>
      <c r="O965" s="2">
        <v>0.05</v>
      </c>
      <c r="P965" s="1">
        <v>5021.1099999999997</v>
      </c>
      <c r="Q965" t="s">
        <v>82</v>
      </c>
      <c r="R965" t="s">
        <v>39</v>
      </c>
    </row>
    <row r="966" spans="1:18" x14ac:dyDescent="0.3">
      <c r="A966">
        <v>1965</v>
      </c>
      <c r="B966" s="3">
        <v>45382</v>
      </c>
      <c r="C966" s="3">
        <v>45388</v>
      </c>
      <c r="D966" t="s">
        <v>1275</v>
      </c>
      <c r="E966" t="s">
        <v>281</v>
      </c>
      <c r="F966" t="s">
        <v>46</v>
      </c>
      <c r="G966" t="s">
        <v>95</v>
      </c>
      <c r="H966" t="s">
        <v>22</v>
      </c>
      <c r="I966" t="s">
        <v>23</v>
      </c>
      <c r="J966" t="s">
        <v>24</v>
      </c>
      <c r="K966" t="s">
        <v>212</v>
      </c>
      <c r="L966" t="s">
        <v>1574</v>
      </c>
      <c r="M966" s="1">
        <v>65334.18</v>
      </c>
      <c r="N966">
        <v>7</v>
      </c>
      <c r="O966" s="2">
        <v>0.2</v>
      </c>
      <c r="P966" s="1">
        <v>7425.2</v>
      </c>
      <c r="Q966" t="s">
        <v>67</v>
      </c>
      <c r="R966" t="s">
        <v>120</v>
      </c>
    </row>
    <row r="967" spans="1:18" x14ac:dyDescent="0.3">
      <c r="A967">
        <v>1966</v>
      </c>
      <c r="B967" s="3">
        <v>45822</v>
      </c>
      <c r="C967" s="3">
        <v>45825</v>
      </c>
      <c r="D967" t="s">
        <v>684</v>
      </c>
      <c r="E967" t="s">
        <v>513</v>
      </c>
      <c r="F967" t="s">
        <v>20</v>
      </c>
      <c r="G967" t="s">
        <v>47</v>
      </c>
      <c r="H967" t="s">
        <v>48</v>
      </c>
      <c r="I967" t="s">
        <v>49</v>
      </c>
      <c r="J967" t="s">
        <v>35</v>
      </c>
      <c r="K967" t="s">
        <v>42</v>
      </c>
      <c r="L967" t="s">
        <v>1575</v>
      </c>
      <c r="M967" s="1">
        <v>26628.34</v>
      </c>
      <c r="N967">
        <v>1</v>
      </c>
      <c r="O967" s="2">
        <v>0.05</v>
      </c>
      <c r="P967" s="1">
        <v>7120.83</v>
      </c>
      <c r="Q967" t="s">
        <v>115</v>
      </c>
      <c r="R967" t="s">
        <v>28</v>
      </c>
    </row>
    <row r="968" spans="1:18" x14ac:dyDescent="0.3">
      <c r="A968">
        <v>1967</v>
      </c>
      <c r="B968" s="3">
        <v>45997</v>
      </c>
      <c r="C968" s="3">
        <v>45999</v>
      </c>
      <c r="D968" t="s">
        <v>199</v>
      </c>
      <c r="E968" t="s">
        <v>1074</v>
      </c>
      <c r="F968" t="s">
        <v>20</v>
      </c>
      <c r="G968" t="s">
        <v>90</v>
      </c>
      <c r="H968" t="s">
        <v>91</v>
      </c>
      <c r="I968" t="s">
        <v>23</v>
      </c>
      <c r="J968" t="s">
        <v>35</v>
      </c>
      <c r="K968" t="s">
        <v>129</v>
      </c>
      <c r="L968" t="s">
        <v>1576</v>
      </c>
      <c r="M968" s="1">
        <v>1089.6300000000001</v>
      </c>
      <c r="N968">
        <v>10</v>
      </c>
      <c r="O968" s="2">
        <v>0.1</v>
      </c>
      <c r="P968" s="1">
        <v>54.15</v>
      </c>
      <c r="Q968" t="s">
        <v>61</v>
      </c>
      <c r="R968" t="s">
        <v>53</v>
      </c>
    </row>
    <row r="969" spans="1:18" x14ac:dyDescent="0.3">
      <c r="A969">
        <v>1968</v>
      </c>
      <c r="B969" s="3">
        <v>45727</v>
      </c>
      <c r="C969" s="3">
        <v>45730</v>
      </c>
      <c r="D969" t="s">
        <v>325</v>
      </c>
      <c r="E969" t="s">
        <v>477</v>
      </c>
      <c r="F969" t="s">
        <v>31</v>
      </c>
      <c r="G969" t="s">
        <v>47</v>
      </c>
      <c r="H969" t="s">
        <v>48</v>
      </c>
      <c r="I969" t="s">
        <v>49</v>
      </c>
      <c r="J969" t="s">
        <v>64</v>
      </c>
      <c r="K969" t="s">
        <v>188</v>
      </c>
      <c r="L969" t="s">
        <v>1577</v>
      </c>
      <c r="M969" s="1">
        <v>26077.9</v>
      </c>
      <c r="N969">
        <v>2</v>
      </c>
      <c r="O969" s="2">
        <v>0.05</v>
      </c>
      <c r="P969" s="1">
        <v>4629.45</v>
      </c>
      <c r="Q969" t="s">
        <v>27</v>
      </c>
      <c r="R969" t="s">
        <v>39</v>
      </c>
    </row>
    <row r="970" spans="1:18" x14ac:dyDescent="0.3">
      <c r="A970">
        <v>1969</v>
      </c>
      <c r="B970" s="3">
        <v>45422</v>
      </c>
      <c r="C970" s="3">
        <v>45425</v>
      </c>
      <c r="D970" t="s">
        <v>137</v>
      </c>
      <c r="E970" t="s">
        <v>1578</v>
      </c>
      <c r="F970" t="s">
        <v>31</v>
      </c>
      <c r="G970" t="s">
        <v>95</v>
      </c>
      <c r="H970" t="s">
        <v>22</v>
      </c>
      <c r="I970" t="s">
        <v>23</v>
      </c>
      <c r="J970" t="s">
        <v>35</v>
      </c>
      <c r="K970" t="s">
        <v>59</v>
      </c>
      <c r="L970" t="s">
        <v>1579</v>
      </c>
      <c r="M970" s="1">
        <v>56611.56</v>
      </c>
      <c r="N970">
        <v>4</v>
      </c>
      <c r="O970" s="2">
        <v>0.1</v>
      </c>
      <c r="P970" s="1">
        <v>8423.7099999999991</v>
      </c>
      <c r="Q970" t="s">
        <v>115</v>
      </c>
      <c r="R970" t="s">
        <v>120</v>
      </c>
    </row>
    <row r="971" spans="1:18" x14ac:dyDescent="0.3">
      <c r="A971">
        <v>1970</v>
      </c>
      <c r="B971" s="3">
        <v>45416</v>
      </c>
      <c r="C971" s="3">
        <v>45422</v>
      </c>
      <c r="D971" t="s">
        <v>318</v>
      </c>
      <c r="E971" t="s">
        <v>573</v>
      </c>
      <c r="F971" t="s">
        <v>46</v>
      </c>
      <c r="G971" t="s">
        <v>21</v>
      </c>
      <c r="H971" t="s">
        <v>22</v>
      </c>
      <c r="I971" t="s">
        <v>23</v>
      </c>
      <c r="J971" t="s">
        <v>35</v>
      </c>
      <c r="K971" t="s">
        <v>36</v>
      </c>
      <c r="L971" t="s">
        <v>681</v>
      </c>
      <c r="M971" s="1">
        <v>34610.480000000003</v>
      </c>
      <c r="N971">
        <v>1</v>
      </c>
      <c r="O971" s="2">
        <v>0.15</v>
      </c>
      <c r="P971" s="1">
        <v>8241.7000000000007</v>
      </c>
      <c r="Q971" t="s">
        <v>61</v>
      </c>
      <c r="R971" t="s">
        <v>39</v>
      </c>
    </row>
    <row r="972" spans="1:18" x14ac:dyDescent="0.3">
      <c r="A972">
        <v>1971</v>
      </c>
      <c r="B972" s="3">
        <v>45495</v>
      </c>
      <c r="C972" s="3">
        <v>45496</v>
      </c>
      <c r="D972" t="s">
        <v>1095</v>
      </c>
      <c r="E972" t="s">
        <v>160</v>
      </c>
      <c r="F972" t="s">
        <v>20</v>
      </c>
      <c r="G972" t="s">
        <v>102</v>
      </c>
      <c r="H972" t="s">
        <v>103</v>
      </c>
      <c r="I972" t="s">
        <v>58</v>
      </c>
      <c r="J972" t="s">
        <v>24</v>
      </c>
      <c r="K972" t="s">
        <v>50</v>
      </c>
      <c r="L972" t="s">
        <v>1580</v>
      </c>
      <c r="M972" s="1">
        <v>23466.19</v>
      </c>
      <c r="N972">
        <v>4</v>
      </c>
      <c r="O972" s="2">
        <v>0.25</v>
      </c>
      <c r="P972" s="1">
        <v>1978.28</v>
      </c>
      <c r="Q972" t="s">
        <v>74</v>
      </c>
      <c r="R972" t="s">
        <v>120</v>
      </c>
    </row>
    <row r="973" spans="1:18" x14ac:dyDescent="0.3">
      <c r="A973">
        <v>1972</v>
      </c>
      <c r="B973" s="3">
        <v>45834</v>
      </c>
      <c r="C973" s="3">
        <v>45835</v>
      </c>
      <c r="D973" t="s">
        <v>1165</v>
      </c>
      <c r="E973" t="s">
        <v>1222</v>
      </c>
      <c r="F973" t="s">
        <v>46</v>
      </c>
      <c r="G973" t="s">
        <v>56</v>
      </c>
      <c r="H973" t="s">
        <v>57</v>
      </c>
      <c r="I973" t="s">
        <v>58</v>
      </c>
      <c r="J973" t="s">
        <v>24</v>
      </c>
      <c r="K973" t="s">
        <v>50</v>
      </c>
      <c r="L973" t="s">
        <v>1581</v>
      </c>
      <c r="M973" s="1">
        <v>2725.66</v>
      </c>
      <c r="N973">
        <v>3</v>
      </c>
      <c r="O973" s="2">
        <v>0</v>
      </c>
      <c r="P973" s="1">
        <v>629.12</v>
      </c>
      <c r="Q973" t="s">
        <v>82</v>
      </c>
      <c r="R973" t="s">
        <v>39</v>
      </c>
    </row>
    <row r="974" spans="1:18" x14ac:dyDescent="0.3">
      <c r="A974">
        <v>1973</v>
      </c>
      <c r="B974" s="3">
        <v>45872</v>
      </c>
      <c r="C974" s="3">
        <v>45874</v>
      </c>
      <c r="D974" t="s">
        <v>1069</v>
      </c>
      <c r="E974" t="s">
        <v>221</v>
      </c>
      <c r="F974" t="s">
        <v>20</v>
      </c>
      <c r="G974" t="s">
        <v>70</v>
      </c>
      <c r="H974" t="s">
        <v>71</v>
      </c>
      <c r="I974" t="s">
        <v>58</v>
      </c>
      <c r="J974" t="s">
        <v>64</v>
      </c>
      <c r="K974" t="s">
        <v>65</v>
      </c>
      <c r="L974" t="s">
        <v>1582</v>
      </c>
      <c r="M974" s="1">
        <v>20294.759999999998</v>
      </c>
      <c r="N974">
        <v>4</v>
      </c>
      <c r="O974" s="2">
        <v>0.2</v>
      </c>
      <c r="P974" s="1">
        <v>945.43</v>
      </c>
      <c r="Q974" t="s">
        <v>115</v>
      </c>
      <c r="R974" t="s">
        <v>120</v>
      </c>
    </row>
    <row r="975" spans="1:18" x14ac:dyDescent="0.3">
      <c r="A975">
        <v>1974</v>
      </c>
      <c r="B975" s="3">
        <v>45826</v>
      </c>
      <c r="C975" s="3">
        <v>45832</v>
      </c>
      <c r="D975" t="s">
        <v>563</v>
      </c>
      <c r="E975" t="s">
        <v>1074</v>
      </c>
      <c r="F975" t="s">
        <v>46</v>
      </c>
      <c r="G975" t="s">
        <v>102</v>
      </c>
      <c r="H975" t="s">
        <v>103</v>
      </c>
      <c r="I975" t="s">
        <v>58</v>
      </c>
      <c r="J975" t="s">
        <v>64</v>
      </c>
      <c r="K975" t="s">
        <v>80</v>
      </c>
      <c r="L975" t="s">
        <v>1583</v>
      </c>
      <c r="M975" s="1">
        <v>69710.77</v>
      </c>
      <c r="N975">
        <v>5</v>
      </c>
      <c r="O975" s="2">
        <v>0.05</v>
      </c>
      <c r="P975" s="1">
        <v>6689.06</v>
      </c>
      <c r="Q975" t="s">
        <v>82</v>
      </c>
      <c r="R975" t="s">
        <v>120</v>
      </c>
    </row>
    <row r="976" spans="1:18" x14ac:dyDescent="0.3">
      <c r="A976">
        <v>1975</v>
      </c>
      <c r="B976" s="3">
        <v>45900</v>
      </c>
      <c r="C976" s="3">
        <v>45902</v>
      </c>
      <c r="D976" t="s">
        <v>305</v>
      </c>
      <c r="E976" t="s">
        <v>1235</v>
      </c>
      <c r="F976" t="s">
        <v>31</v>
      </c>
      <c r="G976" t="s">
        <v>112</v>
      </c>
      <c r="H976" t="s">
        <v>113</v>
      </c>
      <c r="I976" t="s">
        <v>49</v>
      </c>
      <c r="J976" t="s">
        <v>24</v>
      </c>
      <c r="K976" t="s">
        <v>50</v>
      </c>
      <c r="L976" t="s">
        <v>1584</v>
      </c>
      <c r="M976" s="1">
        <v>80581.8</v>
      </c>
      <c r="N976">
        <v>9</v>
      </c>
      <c r="O976" s="2">
        <v>0.1</v>
      </c>
      <c r="P976" s="1">
        <v>8446.26</v>
      </c>
      <c r="Q976" t="s">
        <v>82</v>
      </c>
      <c r="R976" t="s">
        <v>120</v>
      </c>
    </row>
    <row r="977" spans="1:18" x14ac:dyDescent="0.3">
      <c r="A977">
        <v>1976</v>
      </c>
      <c r="B977" s="3">
        <v>45470</v>
      </c>
      <c r="C977" s="3">
        <v>45475</v>
      </c>
      <c r="D977" t="s">
        <v>414</v>
      </c>
      <c r="E977" t="s">
        <v>1092</v>
      </c>
      <c r="F977" t="s">
        <v>31</v>
      </c>
      <c r="G977" t="s">
        <v>21</v>
      </c>
      <c r="H977" t="s">
        <v>22</v>
      </c>
      <c r="I977" t="s">
        <v>23</v>
      </c>
      <c r="J977" t="s">
        <v>64</v>
      </c>
      <c r="K977" t="s">
        <v>80</v>
      </c>
      <c r="L977" t="s">
        <v>1585</v>
      </c>
      <c r="M977" s="1">
        <v>64058.33</v>
      </c>
      <c r="N977">
        <v>4</v>
      </c>
      <c r="O977" s="2">
        <v>0.15</v>
      </c>
      <c r="P977" s="1">
        <v>3780.13</v>
      </c>
      <c r="Q977" t="s">
        <v>27</v>
      </c>
      <c r="R977" t="s">
        <v>39</v>
      </c>
    </row>
    <row r="978" spans="1:18" x14ac:dyDescent="0.3">
      <c r="A978">
        <v>1977</v>
      </c>
      <c r="B978" s="3">
        <v>46019</v>
      </c>
      <c r="C978" s="3">
        <v>46020</v>
      </c>
      <c r="D978" t="s">
        <v>839</v>
      </c>
      <c r="E978" t="s">
        <v>581</v>
      </c>
      <c r="F978" t="s">
        <v>20</v>
      </c>
      <c r="G978" t="s">
        <v>56</v>
      </c>
      <c r="H978" t="s">
        <v>57</v>
      </c>
      <c r="I978" t="s">
        <v>58</v>
      </c>
      <c r="J978" t="s">
        <v>35</v>
      </c>
      <c r="K978" t="s">
        <v>129</v>
      </c>
      <c r="L978" t="s">
        <v>1586</v>
      </c>
      <c r="M978" s="1">
        <v>30959.34</v>
      </c>
      <c r="N978">
        <v>9</v>
      </c>
      <c r="O978" s="2">
        <v>0.25</v>
      </c>
      <c r="P978" s="1">
        <v>821.05</v>
      </c>
      <c r="Q978" t="s">
        <v>52</v>
      </c>
      <c r="R978" t="s">
        <v>39</v>
      </c>
    </row>
    <row r="979" spans="1:18" x14ac:dyDescent="0.3">
      <c r="A979">
        <v>1978</v>
      </c>
      <c r="B979" s="3">
        <v>45311</v>
      </c>
      <c r="C979" s="3">
        <v>45317</v>
      </c>
      <c r="D979" t="s">
        <v>148</v>
      </c>
      <c r="E979" t="s">
        <v>706</v>
      </c>
      <c r="F979" t="s">
        <v>31</v>
      </c>
      <c r="G979" t="s">
        <v>107</v>
      </c>
      <c r="H979" t="s">
        <v>108</v>
      </c>
      <c r="I979" t="s">
        <v>34</v>
      </c>
      <c r="J979" t="s">
        <v>64</v>
      </c>
      <c r="K979" t="s">
        <v>104</v>
      </c>
      <c r="L979" t="s">
        <v>1587</v>
      </c>
      <c r="M979" s="1">
        <v>11029.89</v>
      </c>
      <c r="N979">
        <v>7</v>
      </c>
      <c r="O979" s="2">
        <v>0.25</v>
      </c>
      <c r="P979" s="1">
        <v>43.71</v>
      </c>
      <c r="Q979" t="s">
        <v>27</v>
      </c>
      <c r="R979" t="s">
        <v>28</v>
      </c>
    </row>
    <row r="980" spans="1:18" x14ac:dyDescent="0.3">
      <c r="A980">
        <v>1979</v>
      </c>
      <c r="B980" s="3">
        <v>45601</v>
      </c>
      <c r="C980" s="3">
        <v>45602</v>
      </c>
      <c r="D980" t="s">
        <v>1049</v>
      </c>
      <c r="E980" t="s">
        <v>211</v>
      </c>
      <c r="F980" t="s">
        <v>31</v>
      </c>
      <c r="G980" t="s">
        <v>90</v>
      </c>
      <c r="H980" t="s">
        <v>91</v>
      </c>
      <c r="I980" t="s">
        <v>23</v>
      </c>
      <c r="J980" t="s">
        <v>64</v>
      </c>
      <c r="K980" t="s">
        <v>80</v>
      </c>
      <c r="L980" t="s">
        <v>1588</v>
      </c>
      <c r="M980" s="1">
        <v>89519.75</v>
      </c>
      <c r="N980">
        <v>10</v>
      </c>
      <c r="O980" s="2">
        <v>0</v>
      </c>
      <c r="P980" s="1">
        <v>22171.79</v>
      </c>
      <c r="Q980" t="s">
        <v>67</v>
      </c>
      <c r="R980" t="s">
        <v>39</v>
      </c>
    </row>
    <row r="981" spans="1:18" x14ac:dyDescent="0.3">
      <c r="A981">
        <v>1980</v>
      </c>
      <c r="B981" s="3">
        <v>45656</v>
      </c>
      <c r="C981" s="3">
        <v>45659</v>
      </c>
      <c r="D981" t="s">
        <v>140</v>
      </c>
      <c r="E981" t="s">
        <v>697</v>
      </c>
      <c r="F981" t="s">
        <v>31</v>
      </c>
      <c r="G981" t="s">
        <v>32</v>
      </c>
      <c r="H981" t="s">
        <v>33</v>
      </c>
      <c r="I981" t="s">
        <v>34</v>
      </c>
      <c r="J981" t="s">
        <v>64</v>
      </c>
      <c r="K981" t="s">
        <v>80</v>
      </c>
      <c r="L981" t="s">
        <v>945</v>
      </c>
      <c r="M981" s="1">
        <v>70775.45</v>
      </c>
      <c r="N981">
        <v>10</v>
      </c>
      <c r="O981" s="2">
        <v>0.1</v>
      </c>
      <c r="P981" s="1">
        <v>16330.85</v>
      </c>
      <c r="Q981" t="s">
        <v>61</v>
      </c>
      <c r="R981" t="s">
        <v>28</v>
      </c>
    </row>
    <row r="982" spans="1:18" x14ac:dyDescent="0.3">
      <c r="A982">
        <v>1981</v>
      </c>
      <c r="B982" s="3">
        <v>45786</v>
      </c>
      <c r="C982" s="3">
        <v>45790</v>
      </c>
      <c r="D982" t="s">
        <v>345</v>
      </c>
      <c r="E982" t="s">
        <v>211</v>
      </c>
      <c r="F982" t="s">
        <v>20</v>
      </c>
      <c r="G982" t="s">
        <v>112</v>
      </c>
      <c r="H982" t="s">
        <v>113</v>
      </c>
      <c r="I982" t="s">
        <v>49</v>
      </c>
      <c r="J982" t="s">
        <v>24</v>
      </c>
      <c r="K982" t="s">
        <v>25</v>
      </c>
      <c r="L982" t="s">
        <v>1589</v>
      </c>
      <c r="M982" s="1">
        <v>2973.09</v>
      </c>
      <c r="N982">
        <v>5</v>
      </c>
      <c r="O982" s="2">
        <v>0</v>
      </c>
      <c r="P982" s="1">
        <v>354.59</v>
      </c>
      <c r="Q982" t="s">
        <v>52</v>
      </c>
      <c r="R982" t="s">
        <v>53</v>
      </c>
    </row>
    <row r="983" spans="1:18" x14ac:dyDescent="0.3">
      <c r="A983">
        <v>1982</v>
      </c>
      <c r="B983" s="3">
        <v>45825</v>
      </c>
      <c r="C983" s="3">
        <v>45828</v>
      </c>
      <c r="D983" t="s">
        <v>348</v>
      </c>
      <c r="E983" t="s">
        <v>1201</v>
      </c>
      <c r="F983" t="s">
        <v>20</v>
      </c>
      <c r="G983" t="s">
        <v>107</v>
      </c>
      <c r="H983" t="s">
        <v>108</v>
      </c>
      <c r="I983" t="s">
        <v>34</v>
      </c>
      <c r="J983" t="s">
        <v>64</v>
      </c>
      <c r="K983" t="s">
        <v>188</v>
      </c>
      <c r="L983" t="s">
        <v>1590</v>
      </c>
      <c r="M983" s="1">
        <v>77008.88</v>
      </c>
      <c r="N983">
        <v>8</v>
      </c>
      <c r="O983" s="2">
        <v>0.2</v>
      </c>
      <c r="P983" s="1">
        <v>15964.65</v>
      </c>
      <c r="Q983" t="s">
        <v>67</v>
      </c>
      <c r="R983" t="s">
        <v>120</v>
      </c>
    </row>
    <row r="984" spans="1:18" x14ac:dyDescent="0.3">
      <c r="A984">
        <v>1983</v>
      </c>
      <c r="B984" s="3">
        <v>45381</v>
      </c>
      <c r="C984" s="3">
        <v>45384</v>
      </c>
      <c r="D984" t="s">
        <v>556</v>
      </c>
      <c r="E984" t="s">
        <v>930</v>
      </c>
      <c r="F984" t="s">
        <v>46</v>
      </c>
      <c r="G984" t="s">
        <v>47</v>
      </c>
      <c r="H984" t="s">
        <v>48</v>
      </c>
      <c r="I984" t="s">
        <v>49</v>
      </c>
      <c r="J984" t="s">
        <v>35</v>
      </c>
      <c r="K984" t="s">
        <v>129</v>
      </c>
      <c r="L984" t="s">
        <v>1591</v>
      </c>
      <c r="M984" s="1">
        <v>65484.639999999999</v>
      </c>
      <c r="N984">
        <v>3</v>
      </c>
      <c r="O984" s="2">
        <v>0.05</v>
      </c>
      <c r="P984" s="1">
        <v>9511.02</v>
      </c>
      <c r="Q984" t="s">
        <v>27</v>
      </c>
      <c r="R984" t="s">
        <v>120</v>
      </c>
    </row>
    <row r="985" spans="1:18" x14ac:dyDescent="0.3">
      <c r="A985">
        <v>1984</v>
      </c>
      <c r="B985" s="3">
        <v>45499</v>
      </c>
      <c r="C985" s="3">
        <v>45504</v>
      </c>
      <c r="D985" t="s">
        <v>591</v>
      </c>
      <c r="E985" t="s">
        <v>394</v>
      </c>
      <c r="F985" t="s">
        <v>31</v>
      </c>
      <c r="G985" t="s">
        <v>95</v>
      </c>
      <c r="H985" t="s">
        <v>22</v>
      </c>
      <c r="I985" t="s">
        <v>23</v>
      </c>
      <c r="J985" t="s">
        <v>35</v>
      </c>
      <c r="K985" t="s">
        <v>42</v>
      </c>
      <c r="L985" t="s">
        <v>1592</v>
      </c>
      <c r="M985" s="1">
        <v>14214.99</v>
      </c>
      <c r="N985">
        <v>3</v>
      </c>
      <c r="O985" s="2">
        <v>0.25</v>
      </c>
      <c r="P985" s="1">
        <v>2062.6799999999998</v>
      </c>
      <c r="Q985" t="s">
        <v>38</v>
      </c>
      <c r="R985" t="s">
        <v>28</v>
      </c>
    </row>
    <row r="986" spans="1:18" x14ac:dyDescent="0.3">
      <c r="A986">
        <v>1985</v>
      </c>
      <c r="B986" s="3">
        <v>45385</v>
      </c>
      <c r="C986" s="3">
        <v>45388</v>
      </c>
      <c r="D986" t="s">
        <v>295</v>
      </c>
      <c r="E986" t="s">
        <v>685</v>
      </c>
      <c r="F986" t="s">
        <v>20</v>
      </c>
      <c r="G986" t="s">
        <v>47</v>
      </c>
      <c r="H986" t="s">
        <v>48</v>
      </c>
      <c r="I986" t="s">
        <v>49</v>
      </c>
      <c r="J986" t="s">
        <v>35</v>
      </c>
      <c r="K986" t="s">
        <v>42</v>
      </c>
      <c r="L986" t="s">
        <v>1593</v>
      </c>
      <c r="M986" s="1">
        <v>59997.82</v>
      </c>
      <c r="N986">
        <v>3</v>
      </c>
      <c r="O986" s="2">
        <v>0.05</v>
      </c>
      <c r="P986" s="1">
        <v>3993.04</v>
      </c>
      <c r="Q986" t="s">
        <v>61</v>
      </c>
      <c r="R986" t="s">
        <v>53</v>
      </c>
    </row>
    <row r="987" spans="1:18" x14ac:dyDescent="0.3">
      <c r="A987">
        <v>1986</v>
      </c>
      <c r="B987" s="3">
        <v>45875</v>
      </c>
      <c r="C987" s="3">
        <v>45880</v>
      </c>
      <c r="D987" t="s">
        <v>1492</v>
      </c>
      <c r="E987" t="s">
        <v>479</v>
      </c>
      <c r="F987" t="s">
        <v>31</v>
      </c>
      <c r="G987" t="s">
        <v>112</v>
      </c>
      <c r="H987" t="s">
        <v>113</v>
      </c>
      <c r="I987" t="s">
        <v>49</v>
      </c>
      <c r="J987" t="s">
        <v>64</v>
      </c>
      <c r="K987" t="s">
        <v>157</v>
      </c>
      <c r="L987" t="s">
        <v>1594</v>
      </c>
      <c r="M987" s="1">
        <v>51359.79</v>
      </c>
      <c r="N987">
        <v>6</v>
      </c>
      <c r="O987" s="2">
        <v>0</v>
      </c>
      <c r="P987" s="1">
        <v>9084.18</v>
      </c>
      <c r="Q987" t="s">
        <v>27</v>
      </c>
      <c r="R987" t="s">
        <v>120</v>
      </c>
    </row>
    <row r="988" spans="1:18" x14ac:dyDescent="0.3">
      <c r="A988">
        <v>1987</v>
      </c>
      <c r="B988" s="3">
        <v>45856</v>
      </c>
      <c r="C988" s="3">
        <v>45858</v>
      </c>
      <c r="D988" t="s">
        <v>772</v>
      </c>
      <c r="E988" t="s">
        <v>513</v>
      </c>
      <c r="F988" t="s">
        <v>31</v>
      </c>
      <c r="G988" t="s">
        <v>118</v>
      </c>
      <c r="H988" t="s">
        <v>118</v>
      </c>
      <c r="I988" t="s">
        <v>34</v>
      </c>
      <c r="J988" t="s">
        <v>24</v>
      </c>
      <c r="K988" t="s">
        <v>212</v>
      </c>
      <c r="L988" t="s">
        <v>1595</v>
      </c>
      <c r="M988" s="1">
        <v>71015.199999999997</v>
      </c>
      <c r="N988">
        <v>1</v>
      </c>
      <c r="O988" s="2">
        <v>0.05</v>
      </c>
      <c r="P988" s="1">
        <v>9044.2099999999991</v>
      </c>
      <c r="Q988" t="s">
        <v>82</v>
      </c>
      <c r="R988" t="s">
        <v>120</v>
      </c>
    </row>
    <row r="989" spans="1:18" x14ac:dyDescent="0.3">
      <c r="A989">
        <v>1988</v>
      </c>
      <c r="B989" s="3">
        <v>45620</v>
      </c>
      <c r="C989" s="3">
        <v>45624</v>
      </c>
      <c r="D989" t="s">
        <v>545</v>
      </c>
      <c r="E989" t="s">
        <v>1189</v>
      </c>
      <c r="F989" t="s">
        <v>20</v>
      </c>
      <c r="G989" t="s">
        <v>70</v>
      </c>
      <c r="H989" t="s">
        <v>71</v>
      </c>
      <c r="I989" t="s">
        <v>58</v>
      </c>
      <c r="J989" t="s">
        <v>24</v>
      </c>
      <c r="K989" t="s">
        <v>212</v>
      </c>
      <c r="L989" t="s">
        <v>307</v>
      </c>
      <c r="M989" s="1">
        <v>22851.200000000001</v>
      </c>
      <c r="N989">
        <v>5</v>
      </c>
      <c r="O989" s="2">
        <v>0.3</v>
      </c>
      <c r="P989" s="1">
        <v>3378.7</v>
      </c>
      <c r="Q989" t="s">
        <v>27</v>
      </c>
      <c r="R989" t="s">
        <v>120</v>
      </c>
    </row>
    <row r="990" spans="1:18" x14ac:dyDescent="0.3">
      <c r="A990">
        <v>1989</v>
      </c>
      <c r="B990" s="3">
        <v>45685</v>
      </c>
      <c r="C990" s="3">
        <v>45688</v>
      </c>
      <c r="D990" t="s">
        <v>561</v>
      </c>
      <c r="E990" t="s">
        <v>343</v>
      </c>
      <c r="F990" t="s">
        <v>31</v>
      </c>
      <c r="G990" t="s">
        <v>32</v>
      </c>
      <c r="H990" t="s">
        <v>33</v>
      </c>
      <c r="I990" t="s">
        <v>34</v>
      </c>
      <c r="J990" t="s">
        <v>24</v>
      </c>
      <c r="K990" t="s">
        <v>25</v>
      </c>
      <c r="L990" t="s">
        <v>1596</v>
      </c>
      <c r="M990" s="1">
        <v>68698.759999999995</v>
      </c>
      <c r="N990">
        <v>8</v>
      </c>
      <c r="O990" s="2">
        <v>0</v>
      </c>
      <c r="P990" s="1">
        <v>19002.189999999999</v>
      </c>
      <c r="Q990" t="s">
        <v>52</v>
      </c>
      <c r="R990" t="s">
        <v>39</v>
      </c>
    </row>
    <row r="991" spans="1:18" x14ac:dyDescent="0.3">
      <c r="A991">
        <v>1990</v>
      </c>
      <c r="B991" s="3">
        <v>45947</v>
      </c>
      <c r="C991" s="3">
        <v>45951</v>
      </c>
      <c r="D991" t="s">
        <v>1069</v>
      </c>
      <c r="E991" t="s">
        <v>637</v>
      </c>
      <c r="F991" t="s">
        <v>31</v>
      </c>
      <c r="G991" t="s">
        <v>95</v>
      </c>
      <c r="H991" t="s">
        <v>22</v>
      </c>
      <c r="I991" t="s">
        <v>23</v>
      </c>
      <c r="J991" t="s">
        <v>64</v>
      </c>
      <c r="K991" t="s">
        <v>188</v>
      </c>
      <c r="L991" t="s">
        <v>1597</v>
      </c>
      <c r="M991" s="1">
        <v>46361.81</v>
      </c>
      <c r="N991">
        <v>8</v>
      </c>
      <c r="O991" s="2">
        <v>0.15</v>
      </c>
      <c r="P991" s="1">
        <v>1160.6199999999999</v>
      </c>
      <c r="Q991" t="s">
        <v>115</v>
      </c>
      <c r="R991" t="s">
        <v>120</v>
      </c>
    </row>
    <row r="992" spans="1:18" x14ac:dyDescent="0.3">
      <c r="A992">
        <v>1991</v>
      </c>
      <c r="B992" s="3">
        <v>45726</v>
      </c>
      <c r="C992" s="3">
        <v>45730</v>
      </c>
      <c r="D992" t="s">
        <v>1165</v>
      </c>
      <c r="E992" t="s">
        <v>1187</v>
      </c>
      <c r="F992" t="s">
        <v>20</v>
      </c>
      <c r="G992" t="s">
        <v>102</v>
      </c>
      <c r="H992" t="s">
        <v>103</v>
      </c>
      <c r="I992" t="s">
        <v>58</v>
      </c>
      <c r="J992" t="s">
        <v>24</v>
      </c>
      <c r="K992" t="s">
        <v>224</v>
      </c>
      <c r="L992" t="s">
        <v>1598</v>
      </c>
      <c r="M992" s="1">
        <v>33832.550000000003</v>
      </c>
      <c r="N992">
        <v>6</v>
      </c>
      <c r="O992" s="2">
        <v>0.2</v>
      </c>
      <c r="P992" s="1">
        <v>263.39</v>
      </c>
      <c r="Q992" t="s">
        <v>27</v>
      </c>
      <c r="R992" t="s">
        <v>120</v>
      </c>
    </row>
    <row r="993" spans="1:18" x14ac:dyDescent="0.3">
      <c r="A993">
        <v>1992</v>
      </c>
      <c r="B993" s="3">
        <v>45494</v>
      </c>
      <c r="C993" s="3">
        <v>45495</v>
      </c>
      <c r="D993" t="s">
        <v>1049</v>
      </c>
      <c r="E993" t="s">
        <v>349</v>
      </c>
      <c r="F993" t="s">
        <v>31</v>
      </c>
      <c r="G993" t="s">
        <v>32</v>
      </c>
      <c r="H993" t="s">
        <v>33</v>
      </c>
      <c r="I993" t="s">
        <v>34</v>
      </c>
      <c r="J993" t="s">
        <v>35</v>
      </c>
      <c r="K993" t="s">
        <v>36</v>
      </c>
      <c r="L993" t="s">
        <v>1599</v>
      </c>
      <c r="M993" s="1">
        <v>74700.899999999994</v>
      </c>
      <c r="N993">
        <v>3</v>
      </c>
      <c r="O993" s="2">
        <v>0.3</v>
      </c>
      <c r="P993" s="1">
        <v>12906.43</v>
      </c>
      <c r="Q993" t="s">
        <v>38</v>
      </c>
      <c r="R993" t="s">
        <v>53</v>
      </c>
    </row>
    <row r="994" spans="1:18" x14ac:dyDescent="0.3">
      <c r="A994">
        <v>1993</v>
      </c>
      <c r="B994" s="3">
        <v>45805</v>
      </c>
      <c r="C994" s="3">
        <v>45809</v>
      </c>
      <c r="D994" t="s">
        <v>367</v>
      </c>
      <c r="E994" t="s">
        <v>1562</v>
      </c>
      <c r="F994" t="s">
        <v>31</v>
      </c>
      <c r="G994" t="s">
        <v>90</v>
      </c>
      <c r="H994" t="s">
        <v>91</v>
      </c>
      <c r="I994" t="s">
        <v>23</v>
      </c>
      <c r="J994" t="s">
        <v>24</v>
      </c>
      <c r="K994" t="s">
        <v>212</v>
      </c>
      <c r="L994" t="s">
        <v>778</v>
      </c>
      <c r="M994" s="1">
        <v>83406.8</v>
      </c>
      <c r="N994">
        <v>8</v>
      </c>
      <c r="O994" s="2">
        <v>0.05</v>
      </c>
      <c r="P994" s="1">
        <v>7531.58</v>
      </c>
      <c r="Q994" t="s">
        <v>67</v>
      </c>
      <c r="R994" t="s">
        <v>39</v>
      </c>
    </row>
    <row r="995" spans="1:18" x14ac:dyDescent="0.3">
      <c r="A995">
        <v>1994</v>
      </c>
      <c r="B995" s="3">
        <v>45488</v>
      </c>
      <c r="C995" s="3">
        <v>45489</v>
      </c>
      <c r="D995" t="s">
        <v>342</v>
      </c>
      <c r="E995" t="s">
        <v>959</v>
      </c>
      <c r="F995" t="s">
        <v>20</v>
      </c>
      <c r="G995" t="s">
        <v>107</v>
      </c>
      <c r="H995" t="s">
        <v>108</v>
      </c>
      <c r="I995" t="s">
        <v>34</v>
      </c>
      <c r="J995" t="s">
        <v>35</v>
      </c>
      <c r="K995" t="s">
        <v>36</v>
      </c>
      <c r="L995" t="s">
        <v>1600</v>
      </c>
      <c r="M995" s="1">
        <v>35233.46</v>
      </c>
      <c r="N995">
        <v>3</v>
      </c>
      <c r="O995" s="2">
        <v>0.25</v>
      </c>
      <c r="P995" s="1">
        <v>-488.34</v>
      </c>
      <c r="Q995" t="s">
        <v>67</v>
      </c>
      <c r="R995" t="s">
        <v>120</v>
      </c>
    </row>
    <row r="996" spans="1:18" x14ac:dyDescent="0.3">
      <c r="A996">
        <v>1995</v>
      </c>
      <c r="B996" s="3">
        <v>45602</v>
      </c>
      <c r="C996" s="3">
        <v>45604</v>
      </c>
      <c r="D996" t="s">
        <v>651</v>
      </c>
      <c r="E996" t="s">
        <v>194</v>
      </c>
      <c r="F996" t="s">
        <v>31</v>
      </c>
      <c r="G996" t="s">
        <v>70</v>
      </c>
      <c r="H996" t="s">
        <v>71</v>
      </c>
      <c r="I996" t="s">
        <v>58</v>
      </c>
      <c r="J996" t="s">
        <v>24</v>
      </c>
      <c r="K996" t="s">
        <v>25</v>
      </c>
      <c r="L996" t="s">
        <v>1601</v>
      </c>
      <c r="M996" s="1">
        <v>73877.259999999995</v>
      </c>
      <c r="N996">
        <v>4</v>
      </c>
      <c r="O996" s="2">
        <v>0.2</v>
      </c>
      <c r="P996" s="1">
        <v>2361</v>
      </c>
      <c r="Q996" t="s">
        <v>52</v>
      </c>
      <c r="R996" t="s">
        <v>120</v>
      </c>
    </row>
    <row r="997" spans="1:18" x14ac:dyDescent="0.3">
      <c r="A997">
        <v>1996</v>
      </c>
      <c r="B997" s="3">
        <v>45433</v>
      </c>
      <c r="C997" s="3">
        <v>45439</v>
      </c>
      <c r="D997" t="s">
        <v>437</v>
      </c>
      <c r="E997" t="s">
        <v>63</v>
      </c>
      <c r="F997" t="s">
        <v>46</v>
      </c>
      <c r="G997" t="s">
        <v>112</v>
      </c>
      <c r="H997" t="s">
        <v>113</v>
      </c>
      <c r="I997" t="s">
        <v>49</v>
      </c>
      <c r="J997" t="s">
        <v>35</v>
      </c>
      <c r="K997" t="s">
        <v>129</v>
      </c>
      <c r="L997" t="s">
        <v>1602</v>
      </c>
      <c r="M997" s="1">
        <v>83320.77</v>
      </c>
      <c r="N997">
        <v>4</v>
      </c>
      <c r="O997" s="2">
        <v>0</v>
      </c>
      <c r="P997" s="1">
        <v>12156.12</v>
      </c>
      <c r="Q997" t="s">
        <v>115</v>
      </c>
      <c r="R997" t="s">
        <v>120</v>
      </c>
    </row>
    <row r="998" spans="1:18" x14ac:dyDescent="0.3">
      <c r="A998">
        <v>1997</v>
      </c>
      <c r="B998" s="3">
        <v>45659</v>
      </c>
      <c r="C998" s="3">
        <v>45662</v>
      </c>
      <c r="D998" t="s">
        <v>578</v>
      </c>
      <c r="E998" t="s">
        <v>858</v>
      </c>
      <c r="F998" t="s">
        <v>46</v>
      </c>
      <c r="G998" t="s">
        <v>95</v>
      </c>
      <c r="H998" t="s">
        <v>22</v>
      </c>
      <c r="I998" t="s">
        <v>23</v>
      </c>
      <c r="J998" t="s">
        <v>64</v>
      </c>
      <c r="K998" t="s">
        <v>104</v>
      </c>
      <c r="L998" t="s">
        <v>1603</v>
      </c>
      <c r="M998" s="1">
        <v>57569.07</v>
      </c>
      <c r="N998">
        <v>2</v>
      </c>
      <c r="O998" s="2">
        <v>0.1</v>
      </c>
      <c r="P998" s="1">
        <v>5557.11</v>
      </c>
      <c r="Q998" t="s">
        <v>74</v>
      </c>
      <c r="R998" t="s">
        <v>28</v>
      </c>
    </row>
    <row r="999" spans="1:18" x14ac:dyDescent="0.3">
      <c r="A999">
        <v>1998</v>
      </c>
      <c r="B999" s="3">
        <v>45804</v>
      </c>
      <c r="C999" s="3">
        <v>45808</v>
      </c>
      <c r="D999" t="s">
        <v>226</v>
      </c>
      <c r="E999" t="s">
        <v>1449</v>
      </c>
      <c r="F999" t="s">
        <v>20</v>
      </c>
      <c r="G999" t="s">
        <v>107</v>
      </c>
      <c r="H999" t="s">
        <v>108</v>
      </c>
      <c r="I999" t="s">
        <v>34</v>
      </c>
      <c r="J999" t="s">
        <v>35</v>
      </c>
      <c r="K999" t="s">
        <v>59</v>
      </c>
      <c r="L999" t="s">
        <v>1604</v>
      </c>
      <c r="M999" s="1">
        <v>42248.959999999999</v>
      </c>
      <c r="N999">
        <v>6</v>
      </c>
      <c r="O999" s="2">
        <v>0.1</v>
      </c>
      <c r="P999" s="1">
        <v>9212.59</v>
      </c>
      <c r="Q999" t="s">
        <v>115</v>
      </c>
      <c r="R999" t="s">
        <v>120</v>
      </c>
    </row>
    <row r="1000" spans="1:18" x14ac:dyDescent="0.3">
      <c r="A1000">
        <v>1999</v>
      </c>
      <c r="B1000" s="3">
        <v>45452</v>
      </c>
      <c r="C1000" s="3">
        <v>45458</v>
      </c>
      <c r="D1000" t="s">
        <v>234</v>
      </c>
      <c r="E1000" t="s">
        <v>470</v>
      </c>
      <c r="F1000" t="s">
        <v>46</v>
      </c>
      <c r="G1000" t="s">
        <v>112</v>
      </c>
      <c r="H1000" t="s">
        <v>113</v>
      </c>
      <c r="I1000" t="s">
        <v>49</v>
      </c>
      <c r="J1000" t="s">
        <v>64</v>
      </c>
      <c r="K1000" t="s">
        <v>65</v>
      </c>
      <c r="L1000" t="s">
        <v>1605</v>
      </c>
      <c r="M1000" s="1">
        <v>28774.639999999999</v>
      </c>
      <c r="N1000">
        <v>4</v>
      </c>
      <c r="O1000" s="2">
        <v>0.1</v>
      </c>
      <c r="P1000" s="1">
        <v>6198.63</v>
      </c>
      <c r="Q1000" t="s">
        <v>27</v>
      </c>
      <c r="R1000" t="s">
        <v>120</v>
      </c>
    </row>
    <row r="1001" spans="1:18" x14ac:dyDescent="0.3">
      <c r="A1001">
        <v>2000</v>
      </c>
      <c r="B1001" s="3">
        <v>45412</v>
      </c>
      <c r="C1001" s="3">
        <v>45416</v>
      </c>
      <c r="D1001" t="s">
        <v>666</v>
      </c>
      <c r="E1001" t="s">
        <v>1606</v>
      </c>
      <c r="F1001" t="s">
        <v>20</v>
      </c>
      <c r="G1001" t="s">
        <v>32</v>
      </c>
      <c r="H1001" t="s">
        <v>33</v>
      </c>
      <c r="I1001" t="s">
        <v>34</v>
      </c>
      <c r="J1001" t="s">
        <v>24</v>
      </c>
      <c r="K1001" t="s">
        <v>224</v>
      </c>
      <c r="L1001" t="s">
        <v>1607</v>
      </c>
      <c r="M1001" s="1">
        <v>54016.11</v>
      </c>
      <c r="N1001">
        <v>2</v>
      </c>
      <c r="O1001" s="2">
        <v>0</v>
      </c>
      <c r="P1001" s="1">
        <v>10794.21</v>
      </c>
      <c r="Q1001" t="s">
        <v>82</v>
      </c>
      <c r="R1001" t="s">
        <v>120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D9D3E-600B-43FF-8B55-1D94952E54D4}">
  <dimension ref="A1:N980"/>
  <sheetViews>
    <sheetView topLeftCell="A13" zoomScaleNormal="100" workbookViewId="0">
      <selection activeCell="A16" sqref="A16"/>
    </sheetView>
  </sheetViews>
  <sheetFormatPr defaultRowHeight="14.4" x14ac:dyDescent="0.3"/>
  <cols>
    <col min="1" max="1" width="12.5546875" bestFit="1" customWidth="1"/>
    <col min="2" max="2" width="12.109375" bestFit="1" customWidth="1"/>
    <col min="3" max="3" width="11.77734375" bestFit="1" customWidth="1"/>
    <col min="4" max="4" width="10.44140625" bestFit="1" customWidth="1"/>
    <col min="7" max="7" width="12.5546875" bestFit="1" customWidth="1"/>
    <col min="8" max="8" width="12.109375" bestFit="1" customWidth="1"/>
    <col min="9" max="9" width="13.109375" bestFit="1" customWidth="1"/>
    <col min="10" max="10" width="12.109375" bestFit="1" customWidth="1"/>
    <col min="12" max="12" width="18.5546875" bestFit="1" customWidth="1"/>
    <col min="13" max="14" width="12.109375" bestFit="1" customWidth="1"/>
  </cols>
  <sheetData>
    <row r="1" spans="1:14" x14ac:dyDescent="0.3">
      <c r="A1" t="s">
        <v>1613</v>
      </c>
    </row>
    <row r="2" spans="1:14" x14ac:dyDescent="0.3">
      <c r="A2" s="1">
        <v>45062703.30999998</v>
      </c>
      <c r="C2" t="str">
        <f>TEXT(GETPIVOTDATA("Sales",$A$1)/1000000,"₹0.00")&amp;"M"</f>
        <v>₹45.06M</v>
      </c>
      <c r="G2" s="4" t="s">
        <v>1614</v>
      </c>
      <c r="H2" t="s">
        <v>1608</v>
      </c>
    </row>
    <row r="3" spans="1:14" x14ac:dyDescent="0.3">
      <c r="G3" s="5" t="s">
        <v>58</v>
      </c>
      <c r="H3" s="1">
        <v>11820787.699999996</v>
      </c>
    </row>
    <row r="4" spans="1:14" x14ac:dyDescent="0.3">
      <c r="F4" s="2">
        <f>AVERAGE(Sales_Data!O:O)</f>
        <v>0.14834999999999993</v>
      </c>
      <c r="G4" s="5" t="s">
        <v>49</v>
      </c>
      <c r="H4" s="1">
        <v>11746341.639999993</v>
      </c>
    </row>
    <row r="5" spans="1:14" x14ac:dyDescent="0.3">
      <c r="G5" s="5" t="s">
        <v>34</v>
      </c>
      <c r="H5" s="1">
        <v>11223611.999999998</v>
      </c>
    </row>
    <row r="6" spans="1:14" x14ac:dyDescent="0.3">
      <c r="G6" s="5" t="s">
        <v>23</v>
      </c>
      <c r="H6" s="1">
        <v>10271961.970000004</v>
      </c>
    </row>
    <row r="7" spans="1:14" x14ac:dyDescent="0.3">
      <c r="F7" s="2">
        <f>GETPIVOTDATA("Profit",$A$8)/GETPIVOTDATA("Sales",$A$1)</f>
        <v>0.13153487173692613</v>
      </c>
      <c r="G7" s="5" t="s">
        <v>1615</v>
      </c>
      <c r="H7" s="1">
        <v>45062703.309999995</v>
      </c>
      <c r="M7" s="4" t="s">
        <v>1614</v>
      </c>
      <c r="N7" t="s">
        <v>1608</v>
      </c>
    </row>
    <row r="8" spans="1:14" x14ac:dyDescent="0.3">
      <c r="A8" t="s">
        <v>1612</v>
      </c>
      <c r="M8" s="5" t="s">
        <v>67</v>
      </c>
      <c r="N8" s="1">
        <v>6538424.0200000033</v>
      </c>
    </row>
    <row r="9" spans="1:14" x14ac:dyDescent="0.3">
      <c r="A9" s="1">
        <v>5927316.9000000041</v>
      </c>
      <c r="C9">
        <f>COUNTA(_xlfn.UNIQUE(Sales_Data!D:D))</f>
        <v>292</v>
      </c>
      <c r="D9" t="str">
        <f>TEXT(GETPIVOTDATA("Profit",$A$8)/1000000,"₹0.00")&amp;"M"</f>
        <v>₹5.93M</v>
      </c>
      <c r="M9" s="5" t="s">
        <v>115</v>
      </c>
      <c r="N9" s="1">
        <v>6217318.1899999985</v>
      </c>
    </row>
    <row r="10" spans="1:14" x14ac:dyDescent="0.3">
      <c r="M10" s="5" t="s">
        <v>61</v>
      </c>
      <c r="N10" s="1">
        <v>5908511.5800000038</v>
      </c>
    </row>
    <row r="11" spans="1:14" x14ac:dyDescent="0.3">
      <c r="M11" s="5" t="s">
        <v>27</v>
      </c>
      <c r="N11" s="1">
        <v>5764623.179999996</v>
      </c>
    </row>
    <row r="12" spans="1:14" x14ac:dyDescent="0.3">
      <c r="C12" s="1"/>
      <c r="M12" s="5" t="s">
        <v>38</v>
      </c>
      <c r="N12" s="1">
        <v>5244966.6000000024</v>
      </c>
    </row>
    <row r="13" spans="1:14" x14ac:dyDescent="0.3">
      <c r="M13" s="5" t="s">
        <v>52</v>
      </c>
      <c r="N13" s="1">
        <v>5242036.9799999995</v>
      </c>
    </row>
    <row r="14" spans="1:14" x14ac:dyDescent="0.3">
      <c r="D14" s="1">
        <f>GETPIVOTDATA("Sales",$A$1)/GETPIVOTDATA("Order ID",$A$15)</f>
        <v>45062.703309999983</v>
      </c>
      <c r="M14" s="5" t="s">
        <v>74</v>
      </c>
      <c r="N14" s="1">
        <v>5078243.33</v>
      </c>
    </row>
    <row r="15" spans="1:14" x14ac:dyDescent="0.3">
      <c r="A15" t="s">
        <v>1611</v>
      </c>
      <c r="M15" s="5" t="s">
        <v>82</v>
      </c>
      <c r="N15" s="1">
        <v>5068579.4300000025</v>
      </c>
    </row>
    <row r="16" spans="1:14" x14ac:dyDescent="0.3">
      <c r="A16" s="6">
        <v>1000</v>
      </c>
      <c r="M16" s="5" t="s">
        <v>1615</v>
      </c>
      <c r="N16" s="1">
        <v>45062703.310000002</v>
      </c>
    </row>
    <row r="22" spans="1:13" x14ac:dyDescent="0.3">
      <c r="A22" t="s">
        <v>1610</v>
      </c>
      <c r="L22" s="4" t="s">
        <v>1614</v>
      </c>
      <c r="M22" t="s">
        <v>1608</v>
      </c>
    </row>
    <row r="23" spans="1:13" x14ac:dyDescent="0.3">
      <c r="A23" s="6">
        <v>5485</v>
      </c>
      <c r="L23" s="5" t="s">
        <v>670</v>
      </c>
      <c r="M23" s="1">
        <v>166147.38</v>
      </c>
    </row>
    <row r="24" spans="1:13" x14ac:dyDescent="0.3">
      <c r="L24" s="5" t="s">
        <v>778</v>
      </c>
      <c r="M24" s="1">
        <v>142564.19</v>
      </c>
    </row>
    <row r="25" spans="1:13" x14ac:dyDescent="0.3">
      <c r="L25" s="5" t="s">
        <v>1113</v>
      </c>
      <c r="M25" s="1">
        <v>142130.97999999998</v>
      </c>
    </row>
    <row r="26" spans="1:13" x14ac:dyDescent="0.3">
      <c r="L26" s="5" t="s">
        <v>1263</v>
      </c>
      <c r="M26" s="1">
        <v>135733.29</v>
      </c>
    </row>
    <row r="27" spans="1:13" x14ac:dyDescent="0.3">
      <c r="L27" s="5" t="s">
        <v>1006</v>
      </c>
      <c r="M27" s="1">
        <v>127623.95</v>
      </c>
    </row>
    <row r="28" spans="1:13" x14ac:dyDescent="0.3">
      <c r="L28" s="5" t="s">
        <v>1054</v>
      </c>
      <c r="M28" s="1">
        <v>122308.49</v>
      </c>
    </row>
    <row r="29" spans="1:13" x14ac:dyDescent="0.3">
      <c r="L29" s="5" t="s">
        <v>647</v>
      </c>
      <c r="M29" s="1">
        <v>112527.6</v>
      </c>
    </row>
    <row r="30" spans="1:13" x14ac:dyDescent="0.3">
      <c r="A30" s="4" t="s">
        <v>1614</v>
      </c>
      <c r="B30" t="s">
        <v>1608</v>
      </c>
      <c r="G30" s="4" t="s">
        <v>1614</v>
      </c>
      <c r="H30" t="s">
        <v>1609</v>
      </c>
      <c r="L30" s="5" t="s">
        <v>945</v>
      </c>
      <c r="M30" s="1">
        <v>112080.67</v>
      </c>
    </row>
    <row r="31" spans="1:13" x14ac:dyDescent="0.3">
      <c r="A31" s="5" t="s">
        <v>58</v>
      </c>
      <c r="B31" s="1">
        <v>11820787.699999996</v>
      </c>
      <c r="G31" s="5" t="s">
        <v>35</v>
      </c>
      <c r="H31" s="1">
        <v>1973310.5300000017</v>
      </c>
      <c r="L31" s="5" t="s">
        <v>1281</v>
      </c>
      <c r="M31" s="1">
        <v>110426.51999999999</v>
      </c>
    </row>
    <row r="32" spans="1:13" x14ac:dyDescent="0.3">
      <c r="A32" s="5" t="s">
        <v>34</v>
      </c>
      <c r="B32" s="1">
        <v>11223611.999999998</v>
      </c>
      <c r="G32" s="5" t="s">
        <v>64</v>
      </c>
      <c r="H32" s="1">
        <v>1989364.6799999992</v>
      </c>
      <c r="L32" s="5" t="s">
        <v>625</v>
      </c>
      <c r="M32" s="1">
        <v>108389.42</v>
      </c>
    </row>
    <row r="33" spans="1:13" x14ac:dyDescent="0.3">
      <c r="A33" s="5" t="s">
        <v>49</v>
      </c>
      <c r="B33" s="1">
        <v>11746341.639999993</v>
      </c>
      <c r="G33" s="5" t="s">
        <v>24</v>
      </c>
      <c r="H33" s="1">
        <v>1964641.6900000006</v>
      </c>
      <c r="L33" s="5" t="s">
        <v>1138</v>
      </c>
      <c r="M33" s="1">
        <v>107963.32</v>
      </c>
    </row>
    <row r="34" spans="1:13" x14ac:dyDescent="0.3">
      <c r="A34" s="5" t="s">
        <v>23</v>
      </c>
      <c r="B34" s="1">
        <v>10271961.970000004</v>
      </c>
      <c r="G34" s="5" t="s">
        <v>1615</v>
      </c>
      <c r="H34" s="1">
        <v>5927316.9000000013</v>
      </c>
      <c r="L34" s="5" t="s">
        <v>1013</v>
      </c>
      <c r="M34" s="1">
        <v>105773.79000000001</v>
      </c>
    </row>
    <row r="35" spans="1:13" x14ac:dyDescent="0.3">
      <c r="A35" s="5" t="s">
        <v>1615</v>
      </c>
      <c r="B35" s="1">
        <v>45062703.309999995</v>
      </c>
      <c r="L35" s="5" t="s">
        <v>77</v>
      </c>
      <c r="M35" s="1">
        <v>103726.06</v>
      </c>
    </row>
    <row r="36" spans="1:13" x14ac:dyDescent="0.3">
      <c r="L36" s="5" t="s">
        <v>139</v>
      </c>
      <c r="M36" s="1">
        <v>103673.88</v>
      </c>
    </row>
    <row r="37" spans="1:13" x14ac:dyDescent="0.3">
      <c r="L37" s="5" t="s">
        <v>460</v>
      </c>
      <c r="M37" s="1">
        <v>92638.64</v>
      </c>
    </row>
    <row r="38" spans="1:13" x14ac:dyDescent="0.3">
      <c r="L38" s="5" t="s">
        <v>420</v>
      </c>
      <c r="M38" s="1">
        <v>92238.34</v>
      </c>
    </row>
    <row r="39" spans="1:13" x14ac:dyDescent="0.3">
      <c r="L39" s="5" t="s">
        <v>1325</v>
      </c>
      <c r="M39" s="1">
        <v>91675.22</v>
      </c>
    </row>
    <row r="40" spans="1:13" x14ac:dyDescent="0.3">
      <c r="L40" s="5" t="s">
        <v>307</v>
      </c>
      <c r="M40" s="1">
        <v>91527.58</v>
      </c>
    </row>
    <row r="41" spans="1:13" x14ac:dyDescent="0.3">
      <c r="L41" s="5" t="s">
        <v>1079</v>
      </c>
      <c r="M41" s="1">
        <v>90868.94</v>
      </c>
    </row>
    <row r="42" spans="1:13" x14ac:dyDescent="0.3">
      <c r="L42" s="5" t="s">
        <v>1197</v>
      </c>
      <c r="M42" s="1">
        <v>89841.37</v>
      </c>
    </row>
    <row r="43" spans="1:13" x14ac:dyDescent="0.3">
      <c r="L43" s="5" t="s">
        <v>964</v>
      </c>
      <c r="M43" s="1">
        <v>89800.79</v>
      </c>
    </row>
    <row r="44" spans="1:13" x14ac:dyDescent="0.3">
      <c r="L44" s="5" t="s">
        <v>838</v>
      </c>
      <c r="M44" s="1">
        <v>89667.75</v>
      </c>
    </row>
    <row r="45" spans="1:13" x14ac:dyDescent="0.3">
      <c r="A45" s="4" t="s">
        <v>1614</v>
      </c>
      <c r="B45" t="s">
        <v>1608</v>
      </c>
      <c r="G45" s="4" t="s">
        <v>1614</v>
      </c>
      <c r="H45" t="s">
        <v>1608</v>
      </c>
      <c r="L45" s="5" t="s">
        <v>555</v>
      </c>
      <c r="M45" s="1">
        <v>89588.86</v>
      </c>
    </row>
    <row r="46" spans="1:13" x14ac:dyDescent="0.3">
      <c r="A46" s="5" t="s">
        <v>1616</v>
      </c>
      <c r="B46" s="1">
        <v>4294792.6300000008</v>
      </c>
      <c r="G46" s="5" t="s">
        <v>625</v>
      </c>
      <c r="H46" s="1">
        <v>108389.42</v>
      </c>
      <c r="L46" s="5" t="s">
        <v>1588</v>
      </c>
      <c r="M46" s="1">
        <v>89519.75</v>
      </c>
    </row>
    <row r="47" spans="1:13" x14ac:dyDescent="0.3">
      <c r="A47" s="5" t="s">
        <v>1617</v>
      </c>
      <c r="B47" s="1">
        <v>3816218.6700000004</v>
      </c>
      <c r="G47" s="5" t="s">
        <v>778</v>
      </c>
      <c r="H47" s="1">
        <v>142564.19</v>
      </c>
      <c r="L47" s="5" t="s">
        <v>1234</v>
      </c>
      <c r="M47" s="1">
        <v>89430.24</v>
      </c>
    </row>
    <row r="48" spans="1:13" x14ac:dyDescent="0.3">
      <c r="A48" s="5" t="s">
        <v>1618</v>
      </c>
      <c r="B48" s="1">
        <v>3795738.17</v>
      </c>
      <c r="G48" s="5" t="s">
        <v>647</v>
      </c>
      <c r="H48" s="1">
        <v>112527.6</v>
      </c>
      <c r="L48" s="5" t="s">
        <v>527</v>
      </c>
      <c r="M48" s="1">
        <v>89405.31</v>
      </c>
    </row>
    <row r="49" spans="1:13" x14ac:dyDescent="0.3">
      <c r="A49" s="5" t="s">
        <v>1619</v>
      </c>
      <c r="B49" s="1">
        <v>3362693.53</v>
      </c>
      <c r="G49" s="5" t="s">
        <v>1113</v>
      </c>
      <c r="H49" s="1">
        <v>142130.97999999998</v>
      </c>
      <c r="L49" s="5" t="s">
        <v>1046</v>
      </c>
      <c r="M49" s="1">
        <v>89343.69</v>
      </c>
    </row>
    <row r="50" spans="1:13" x14ac:dyDescent="0.3">
      <c r="A50" s="5" t="s">
        <v>1620</v>
      </c>
      <c r="B50" s="1">
        <v>4597234.6099999994</v>
      </c>
      <c r="G50" s="5" t="s">
        <v>1263</v>
      </c>
      <c r="H50" s="1">
        <v>135733.29</v>
      </c>
      <c r="L50" s="5" t="s">
        <v>1509</v>
      </c>
      <c r="M50" s="1">
        <v>89292.22</v>
      </c>
    </row>
    <row r="51" spans="1:13" x14ac:dyDescent="0.3">
      <c r="A51" s="5" t="s">
        <v>1621</v>
      </c>
      <c r="B51" s="1">
        <v>3098812.620000001</v>
      </c>
      <c r="G51" s="5" t="s">
        <v>1054</v>
      </c>
      <c r="H51" s="1">
        <v>122308.49</v>
      </c>
      <c r="L51" s="5" t="s">
        <v>1279</v>
      </c>
      <c r="M51" s="1">
        <v>89218.33</v>
      </c>
    </row>
    <row r="52" spans="1:13" x14ac:dyDescent="0.3">
      <c r="A52" s="5" t="s">
        <v>1622</v>
      </c>
      <c r="B52" s="1">
        <v>3057941.3900000011</v>
      </c>
      <c r="G52" s="5" t="s">
        <v>1281</v>
      </c>
      <c r="H52" s="1">
        <v>110426.51999999999</v>
      </c>
      <c r="L52" s="5" t="s">
        <v>794</v>
      </c>
      <c r="M52" s="1">
        <v>88930.38</v>
      </c>
    </row>
    <row r="53" spans="1:13" x14ac:dyDescent="0.3">
      <c r="A53" s="5" t="s">
        <v>1623</v>
      </c>
      <c r="B53" s="1">
        <v>3680838.4499999993</v>
      </c>
      <c r="G53" s="5" t="s">
        <v>945</v>
      </c>
      <c r="H53" s="1">
        <v>112080.67</v>
      </c>
      <c r="L53" s="5" t="s">
        <v>363</v>
      </c>
      <c r="M53" s="1">
        <v>88901.45</v>
      </c>
    </row>
    <row r="54" spans="1:13" x14ac:dyDescent="0.3">
      <c r="A54" s="5" t="s">
        <v>1624</v>
      </c>
      <c r="B54" s="1">
        <v>4497883.8100000015</v>
      </c>
      <c r="G54" s="5" t="s">
        <v>670</v>
      </c>
      <c r="H54" s="1">
        <v>166147.38</v>
      </c>
      <c r="L54" s="5" t="s">
        <v>791</v>
      </c>
      <c r="M54" s="1">
        <v>88727.89</v>
      </c>
    </row>
    <row r="55" spans="1:13" x14ac:dyDescent="0.3">
      <c r="A55" s="5" t="s">
        <v>1625</v>
      </c>
      <c r="B55" s="1">
        <v>2885575.3299999991</v>
      </c>
      <c r="G55" s="5" t="s">
        <v>1006</v>
      </c>
      <c r="H55" s="1">
        <v>127623.95</v>
      </c>
      <c r="L55" s="5" t="s">
        <v>652</v>
      </c>
      <c r="M55" s="1">
        <v>88693.84</v>
      </c>
    </row>
    <row r="56" spans="1:13" x14ac:dyDescent="0.3">
      <c r="A56" s="5" t="s">
        <v>1626</v>
      </c>
      <c r="B56" s="1">
        <v>4142772.5100000007</v>
      </c>
      <c r="G56" s="5" t="s">
        <v>1615</v>
      </c>
      <c r="H56" s="1">
        <v>1279932.49</v>
      </c>
      <c r="L56" s="5" t="s">
        <v>635</v>
      </c>
      <c r="M56" s="1">
        <v>88502.16</v>
      </c>
    </row>
    <row r="57" spans="1:13" x14ac:dyDescent="0.3">
      <c r="A57" s="5" t="s">
        <v>1627</v>
      </c>
      <c r="B57" s="1">
        <v>3832201.5900000003</v>
      </c>
      <c r="L57" s="5" t="s">
        <v>655</v>
      </c>
      <c r="M57" s="1">
        <v>88442.609999999986</v>
      </c>
    </row>
    <row r="58" spans="1:13" x14ac:dyDescent="0.3">
      <c r="A58" s="5" t="s">
        <v>1615</v>
      </c>
      <c r="B58" s="1">
        <v>45062703.310000002</v>
      </c>
      <c r="L58" s="5" t="s">
        <v>1220</v>
      </c>
      <c r="M58" s="1">
        <v>88374.59</v>
      </c>
    </row>
    <row r="59" spans="1:13" x14ac:dyDescent="0.3">
      <c r="L59" s="5" t="s">
        <v>1496</v>
      </c>
      <c r="M59" s="1">
        <v>88340.94</v>
      </c>
    </row>
    <row r="60" spans="1:13" x14ac:dyDescent="0.3">
      <c r="L60" s="5" t="s">
        <v>663</v>
      </c>
      <c r="M60" s="1">
        <v>88272.39</v>
      </c>
    </row>
    <row r="61" spans="1:13" x14ac:dyDescent="0.3">
      <c r="L61" s="5" t="s">
        <v>523</v>
      </c>
      <c r="M61" s="1">
        <v>87961.7</v>
      </c>
    </row>
    <row r="62" spans="1:13" x14ac:dyDescent="0.3">
      <c r="L62" s="5" t="s">
        <v>528</v>
      </c>
      <c r="M62" s="1">
        <v>87938.1</v>
      </c>
    </row>
    <row r="63" spans="1:13" x14ac:dyDescent="0.3">
      <c r="L63" s="5" t="s">
        <v>1424</v>
      </c>
      <c r="M63" s="1">
        <v>87926.66</v>
      </c>
    </row>
    <row r="64" spans="1:13" x14ac:dyDescent="0.3">
      <c r="L64" s="5" t="s">
        <v>1056</v>
      </c>
      <c r="M64" s="1">
        <v>87861.93</v>
      </c>
    </row>
    <row r="65" spans="1:13" x14ac:dyDescent="0.3">
      <c r="G65" s="4" t="s">
        <v>1614</v>
      </c>
      <c r="H65" t="s">
        <v>1608</v>
      </c>
      <c r="L65" s="5" t="s">
        <v>1211</v>
      </c>
      <c r="M65" s="1">
        <v>87741.77</v>
      </c>
    </row>
    <row r="66" spans="1:13" x14ac:dyDescent="0.3">
      <c r="G66" s="5" t="s">
        <v>67</v>
      </c>
      <c r="H66" s="1">
        <v>6538424.0200000033</v>
      </c>
      <c r="L66" s="5" t="s">
        <v>1348</v>
      </c>
      <c r="M66" s="1">
        <v>87618.7</v>
      </c>
    </row>
    <row r="67" spans="1:13" x14ac:dyDescent="0.3">
      <c r="G67" s="5" t="s">
        <v>115</v>
      </c>
      <c r="H67" s="1">
        <v>6217318.1899999985</v>
      </c>
      <c r="L67" s="5" t="s">
        <v>657</v>
      </c>
      <c r="M67" s="1">
        <v>87502.2</v>
      </c>
    </row>
    <row r="68" spans="1:13" x14ac:dyDescent="0.3">
      <c r="G68" s="5" t="s">
        <v>61</v>
      </c>
      <c r="H68" s="1">
        <v>5908511.5800000038</v>
      </c>
      <c r="L68" s="5" t="s">
        <v>749</v>
      </c>
      <c r="M68" s="1">
        <v>87427.37</v>
      </c>
    </row>
    <row r="69" spans="1:13" x14ac:dyDescent="0.3">
      <c r="G69" s="5" t="s">
        <v>27</v>
      </c>
      <c r="H69" s="1">
        <v>5764623.179999996</v>
      </c>
      <c r="L69" s="5" t="s">
        <v>831</v>
      </c>
      <c r="M69" s="1">
        <v>87238.24</v>
      </c>
    </row>
    <row r="70" spans="1:13" x14ac:dyDescent="0.3">
      <c r="A70" s="4" t="s">
        <v>1614</v>
      </c>
      <c r="B70" t="s">
        <v>1608</v>
      </c>
      <c r="G70" s="5" t="s">
        <v>38</v>
      </c>
      <c r="H70" s="1">
        <v>5244966.6000000024</v>
      </c>
      <c r="L70" s="5" t="s">
        <v>1468</v>
      </c>
      <c r="M70" s="1">
        <v>87210.33</v>
      </c>
    </row>
    <row r="71" spans="1:13" x14ac:dyDescent="0.3">
      <c r="A71" s="5" t="s">
        <v>20</v>
      </c>
      <c r="B71" s="1">
        <v>13868694.940000001</v>
      </c>
      <c r="G71" s="5" t="s">
        <v>52</v>
      </c>
      <c r="H71" s="1">
        <v>5242036.9799999995</v>
      </c>
      <c r="L71" s="5" t="s">
        <v>622</v>
      </c>
      <c r="M71" s="1">
        <v>86770.14</v>
      </c>
    </row>
    <row r="72" spans="1:13" x14ac:dyDescent="0.3">
      <c r="A72" s="5" t="s">
        <v>46</v>
      </c>
      <c r="B72" s="1">
        <v>13450272.210000003</v>
      </c>
      <c r="G72" s="5" t="s">
        <v>74</v>
      </c>
      <c r="H72" s="1">
        <v>5078243.33</v>
      </c>
      <c r="L72" s="5" t="s">
        <v>1229</v>
      </c>
      <c r="M72" s="1">
        <v>86706.46</v>
      </c>
    </row>
    <row r="73" spans="1:13" x14ac:dyDescent="0.3">
      <c r="A73" s="5" t="s">
        <v>31</v>
      </c>
      <c r="B73" s="1">
        <v>17743736.159999982</v>
      </c>
      <c r="G73" s="5" t="s">
        <v>82</v>
      </c>
      <c r="H73" s="1">
        <v>5068579.4300000025</v>
      </c>
      <c r="L73" s="5" t="s">
        <v>382</v>
      </c>
      <c r="M73" s="1">
        <v>86703.64</v>
      </c>
    </row>
    <row r="74" spans="1:13" x14ac:dyDescent="0.3">
      <c r="A74" s="5" t="s">
        <v>1615</v>
      </c>
      <c r="B74" s="1">
        <v>45062703.309999987</v>
      </c>
      <c r="G74" s="5" t="s">
        <v>1615</v>
      </c>
      <c r="H74" s="1">
        <v>45062703.309999995</v>
      </c>
      <c r="L74" s="5" t="s">
        <v>1124</v>
      </c>
      <c r="M74" s="1">
        <v>86632.98</v>
      </c>
    </row>
    <row r="75" spans="1:13" x14ac:dyDescent="0.3">
      <c r="L75" s="5" t="s">
        <v>604</v>
      </c>
      <c r="M75" s="1">
        <v>86517.3</v>
      </c>
    </row>
    <row r="76" spans="1:13" x14ac:dyDescent="0.3">
      <c r="L76" s="5" t="s">
        <v>1379</v>
      </c>
      <c r="M76" s="1">
        <v>86416.61</v>
      </c>
    </row>
    <row r="77" spans="1:13" x14ac:dyDescent="0.3">
      <c r="L77" s="5" t="s">
        <v>1368</v>
      </c>
      <c r="M77" s="1">
        <v>86410.28</v>
      </c>
    </row>
    <row r="78" spans="1:13" x14ac:dyDescent="0.3">
      <c r="L78" s="5" t="s">
        <v>1545</v>
      </c>
      <c r="M78" s="1">
        <v>86393.33</v>
      </c>
    </row>
    <row r="79" spans="1:13" x14ac:dyDescent="0.3">
      <c r="L79" s="5" t="s">
        <v>369</v>
      </c>
      <c r="M79" s="1">
        <v>86376.02</v>
      </c>
    </row>
    <row r="80" spans="1:13" x14ac:dyDescent="0.3">
      <c r="L80" s="5" t="s">
        <v>1198</v>
      </c>
      <c r="M80" s="1">
        <v>86349.95</v>
      </c>
    </row>
    <row r="81" spans="12:13" x14ac:dyDescent="0.3">
      <c r="L81" s="5" t="s">
        <v>1437</v>
      </c>
      <c r="M81" s="1">
        <v>86319.49</v>
      </c>
    </row>
    <row r="82" spans="12:13" x14ac:dyDescent="0.3">
      <c r="L82" s="5" t="s">
        <v>920</v>
      </c>
      <c r="M82" s="1">
        <v>86052.47</v>
      </c>
    </row>
    <row r="83" spans="12:13" x14ac:dyDescent="0.3">
      <c r="L83" s="5" t="s">
        <v>1347</v>
      </c>
      <c r="M83" s="1">
        <v>86016.81</v>
      </c>
    </row>
    <row r="84" spans="12:13" x14ac:dyDescent="0.3">
      <c r="L84" s="5" t="s">
        <v>937</v>
      </c>
      <c r="M84" s="1">
        <v>85995.86</v>
      </c>
    </row>
    <row r="85" spans="12:13" x14ac:dyDescent="0.3">
      <c r="L85" s="5" t="s">
        <v>492</v>
      </c>
      <c r="M85" s="1">
        <v>85906.86</v>
      </c>
    </row>
    <row r="86" spans="12:13" x14ac:dyDescent="0.3">
      <c r="L86" s="5" t="s">
        <v>1186</v>
      </c>
      <c r="M86" s="1">
        <v>85828.94</v>
      </c>
    </row>
    <row r="87" spans="12:13" x14ac:dyDescent="0.3">
      <c r="L87" s="5" t="s">
        <v>610</v>
      </c>
      <c r="M87" s="1">
        <v>85805.92</v>
      </c>
    </row>
    <row r="88" spans="12:13" x14ac:dyDescent="0.3">
      <c r="L88" s="5" t="s">
        <v>1565</v>
      </c>
      <c r="M88" s="1">
        <v>85622.61</v>
      </c>
    </row>
    <row r="89" spans="12:13" x14ac:dyDescent="0.3">
      <c r="L89" s="5" t="s">
        <v>413</v>
      </c>
      <c r="M89" s="1">
        <v>85495.35</v>
      </c>
    </row>
    <row r="90" spans="12:13" x14ac:dyDescent="0.3">
      <c r="L90" s="5" t="s">
        <v>266</v>
      </c>
      <c r="M90" s="1">
        <v>85404.2</v>
      </c>
    </row>
    <row r="91" spans="12:13" x14ac:dyDescent="0.3">
      <c r="L91" s="5" t="s">
        <v>350</v>
      </c>
      <c r="M91" s="1">
        <v>85262.51</v>
      </c>
    </row>
    <row r="92" spans="12:13" x14ac:dyDescent="0.3">
      <c r="L92" s="5" t="s">
        <v>1352</v>
      </c>
      <c r="M92" s="1">
        <v>85216.81</v>
      </c>
    </row>
    <row r="93" spans="12:13" x14ac:dyDescent="0.3">
      <c r="L93" s="5" t="s">
        <v>1294</v>
      </c>
      <c r="M93" s="1">
        <v>85169.44</v>
      </c>
    </row>
    <row r="94" spans="12:13" x14ac:dyDescent="0.3">
      <c r="L94" s="5" t="s">
        <v>1425</v>
      </c>
      <c r="M94" s="1">
        <v>85141.42</v>
      </c>
    </row>
    <row r="95" spans="12:13" x14ac:dyDescent="0.3">
      <c r="L95" s="5" t="s">
        <v>1504</v>
      </c>
      <c r="M95" s="1">
        <v>85126.29</v>
      </c>
    </row>
    <row r="96" spans="12:13" x14ac:dyDescent="0.3">
      <c r="L96" s="5" t="s">
        <v>802</v>
      </c>
      <c r="M96" s="1">
        <v>85105.88</v>
      </c>
    </row>
    <row r="97" spans="12:13" x14ac:dyDescent="0.3">
      <c r="L97" s="5" t="s">
        <v>755</v>
      </c>
      <c r="M97" s="1">
        <v>84973.34</v>
      </c>
    </row>
    <row r="98" spans="12:13" x14ac:dyDescent="0.3">
      <c r="L98" s="5" t="s">
        <v>888</v>
      </c>
      <c r="M98" s="1">
        <v>84813.200000000012</v>
      </c>
    </row>
    <row r="99" spans="12:13" x14ac:dyDescent="0.3">
      <c r="L99" s="5" t="s">
        <v>1489</v>
      </c>
      <c r="M99" s="1">
        <v>84780.54</v>
      </c>
    </row>
    <row r="100" spans="12:13" x14ac:dyDescent="0.3">
      <c r="L100" s="5" t="s">
        <v>1317</v>
      </c>
      <c r="M100" s="1">
        <v>84622.6</v>
      </c>
    </row>
    <row r="101" spans="12:13" x14ac:dyDescent="0.3">
      <c r="L101" s="5" t="s">
        <v>233</v>
      </c>
      <c r="M101" s="1">
        <v>84523.75</v>
      </c>
    </row>
    <row r="102" spans="12:13" x14ac:dyDescent="0.3">
      <c r="L102" s="5" t="s">
        <v>1438</v>
      </c>
      <c r="M102" s="1">
        <v>84344.01</v>
      </c>
    </row>
    <row r="103" spans="12:13" x14ac:dyDescent="0.3">
      <c r="L103" s="5" t="s">
        <v>298</v>
      </c>
      <c r="M103" s="1">
        <v>84333.1</v>
      </c>
    </row>
    <row r="104" spans="12:13" x14ac:dyDescent="0.3">
      <c r="L104" s="5" t="s">
        <v>1250</v>
      </c>
      <c r="M104" s="1">
        <v>84252.3</v>
      </c>
    </row>
    <row r="105" spans="12:13" x14ac:dyDescent="0.3">
      <c r="L105" s="5" t="s">
        <v>1550</v>
      </c>
      <c r="M105" s="1">
        <v>84163.1</v>
      </c>
    </row>
    <row r="106" spans="12:13" x14ac:dyDescent="0.3">
      <c r="L106" s="5" t="s">
        <v>1305</v>
      </c>
      <c r="M106" s="1">
        <v>84131.93</v>
      </c>
    </row>
    <row r="107" spans="12:13" x14ac:dyDescent="0.3">
      <c r="L107" s="5" t="s">
        <v>535</v>
      </c>
      <c r="M107" s="1">
        <v>84043.7</v>
      </c>
    </row>
    <row r="108" spans="12:13" x14ac:dyDescent="0.3">
      <c r="L108" s="5" t="s">
        <v>169</v>
      </c>
      <c r="M108" s="1">
        <v>83966.87</v>
      </c>
    </row>
    <row r="109" spans="12:13" x14ac:dyDescent="0.3">
      <c r="L109" s="5" t="s">
        <v>1458</v>
      </c>
      <c r="M109" s="1">
        <v>83906.54</v>
      </c>
    </row>
    <row r="110" spans="12:13" x14ac:dyDescent="0.3">
      <c r="L110" s="5" t="s">
        <v>1149</v>
      </c>
      <c r="M110" s="1">
        <v>83861.600000000006</v>
      </c>
    </row>
    <row r="111" spans="12:13" x14ac:dyDescent="0.3">
      <c r="L111" s="5" t="s">
        <v>1271</v>
      </c>
      <c r="M111" s="1">
        <v>83784.210000000006</v>
      </c>
    </row>
    <row r="112" spans="12:13" x14ac:dyDescent="0.3">
      <c r="L112" s="5" t="s">
        <v>405</v>
      </c>
      <c r="M112" s="1">
        <v>83714.12</v>
      </c>
    </row>
    <row r="113" spans="12:13" x14ac:dyDescent="0.3">
      <c r="L113" s="5" t="s">
        <v>624</v>
      </c>
      <c r="M113" s="1">
        <v>83515.75</v>
      </c>
    </row>
    <row r="114" spans="12:13" x14ac:dyDescent="0.3">
      <c r="L114" s="5" t="s">
        <v>1511</v>
      </c>
      <c r="M114" s="1">
        <v>83326.36</v>
      </c>
    </row>
    <row r="115" spans="12:13" x14ac:dyDescent="0.3">
      <c r="L115" s="5" t="s">
        <v>1602</v>
      </c>
      <c r="M115" s="1">
        <v>83320.77</v>
      </c>
    </row>
    <row r="116" spans="12:13" x14ac:dyDescent="0.3">
      <c r="L116" s="5" t="s">
        <v>1190</v>
      </c>
      <c r="M116" s="1">
        <v>83263.56</v>
      </c>
    </row>
    <row r="117" spans="12:13" x14ac:dyDescent="0.3">
      <c r="L117" s="5" t="s">
        <v>99</v>
      </c>
      <c r="M117" s="1">
        <v>83182.09</v>
      </c>
    </row>
    <row r="118" spans="12:13" x14ac:dyDescent="0.3">
      <c r="L118" s="5" t="s">
        <v>1460</v>
      </c>
      <c r="M118" s="1">
        <v>83167.55</v>
      </c>
    </row>
    <row r="119" spans="12:13" x14ac:dyDescent="0.3">
      <c r="L119" s="5" t="s">
        <v>547</v>
      </c>
      <c r="M119" s="1">
        <v>83151.27</v>
      </c>
    </row>
    <row r="120" spans="12:13" x14ac:dyDescent="0.3">
      <c r="L120" s="5" t="s">
        <v>409</v>
      </c>
      <c r="M120" s="1">
        <v>83103.59</v>
      </c>
    </row>
    <row r="121" spans="12:13" x14ac:dyDescent="0.3">
      <c r="L121" s="5" t="s">
        <v>520</v>
      </c>
      <c r="M121" s="1">
        <v>82985.2</v>
      </c>
    </row>
    <row r="122" spans="12:13" x14ac:dyDescent="0.3">
      <c r="L122" s="5" t="s">
        <v>997</v>
      </c>
      <c r="M122" s="1">
        <v>82831.14</v>
      </c>
    </row>
    <row r="123" spans="12:13" x14ac:dyDescent="0.3">
      <c r="L123" s="5" t="s">
        <v>834</v>
      </c>
      <c r="M123" s="1">
        <v>82787.91</v>
      </c>
    </row>
    <row r="124" spans="12:13" x14ac:dyDescent="0.3">
      <c r="L124" s="5" t="s">
        <v>1259</v>
      </c>
      <c r="M124" s="1">
        <v>82761.62</v>
      </c>
    </row>
    <row r="125" spans="12:13" x14ac:dyDescent="0.3">
      <c r="L125" s="5" t="s">
        <v>126</v>
      </c>
      <c r="M125" s="1">
        <v>82387.22</v>
      </c>
    </row>
    <row r="126" spans="12:13" x14ac:dyDescent="0.3">
      <c r="L126" s="5" t="s">
        <v>678</v>
      </c>
      <c r="M126" s="1">
        <v>82351.25</v>
      </c>
    </row>
    <row r="127" spans="12:13" x14ac:dyDescent="0.3">
      <c r="L127" s="5" t="s">
        <v>1307</v>
      </c>
      <c r="M127" s="1">
        <v>81982.75</v>
      </c>
    </row>
    <row r="128" spans="12:13" x14ac:dyDescent="0.3">
      <c r="L128" s="5" t="s">
        <v>1395</v>
      </c>
      <c r="M128" s="1">
        <v>81891.039999999994</v>
      </c>
    </row>
    <row r="129" spans="12:13" x14ac:dyDescent="0.3">
      <c r="L129" s="5" t="s">
        <v>1240</v>
      </c>
      <c r="M129" s="1">
        <v>81831.77</v>
      </c>
    </row>
    <row r="130" spans="12:13" x14ac:dyDescent="0.3">
      <c r="L130" s="5" t="s">
        <v>811</v>
      </c>
      <c r="M130" s="1">
        <v>81708.17</v>
      </c>
    </row>
    <row r="131" spans="12:13" x14ac:dyDescent="0.3">
      <c r="L131" s="5" t="s">
        <v>1308</v>
      </c>
      <c r="M131" s="1">
        <v>81667.570000000007</v>
      </c>
    </row>
    <row r="132" spans="12:13" x14ac:dyDescent="0.3">
      <c r="L132" s="5" t="s">
        <v>245</v>
      </c>
      <c r="M132" s="1">
        <v>81647.12</v>
      </c>
    </row>
    <row r="133" spans="12:13" x14ac:dyDescent="0.3">
      <c r="L133" s="5" t="s">
        <v>924</v>
      </c>
      <c r="M133" s="1">
        <v>81561.210000000006</v>
      </c>
    </row>
    <row r="134" spans="12:13" x14ac:dyDescent="0.3">
      <c r="L134" s="5" t="s">
        <v>1398</v>
      </c>
      <c r="M134" s="1">
        <v>81522.77</v>
      </c>
    </row>
    <row r="135" spans="12:13" x14ac:dyDescent="0.3">
      <c r="L135" s="5" t="s">
        <v>1184</v>
      </c>
      <c r="M135" s="1">
        <v>81454.64</v>
      </c>
    </row>
    <row r="136" spans="12:13" x14ac:dyDescent="0.3">
      <c r="L136" s="5" t="s">
        <v>762</v>
      </c>
      <c r="M136" s="1">
        <v>81027.320000000007</v>
      </c>
    </row>
    <row r="137" spans="12:13" x14ac:dyDescent="0.3">
      <c r="L137" s="5" t="s">
        <v>1382</v>
      </c>
      <c r="M137" s="1">
        <v>80943.960000000006</v>
      </c>
    </row>
    <row r="138" spans="12:13" x14ac:dyDescent="0.3">
      <c r="L138" s="5" t="s">
        <v>783</v>
      </c>
      <c r="M138" s="1">
        <v>80857.259999999995</v>
      </c>
    </row>
    <row r="139" spans="12:13" x14ac:dyDescent="0.3">
      <c r="L139" s="5" t="s">
        <v>1584</v>
      </c>
      <c r="M139" s="1">
        <v>80581.8</v>
      </c>
    </row>
    <row r="140" spans="12:13" x14ac:dyDescent="0.3">
      <c r="L140" s="5" t="s">
        <v>1016</v>
      </c>
      <c r="M140" s="1">
        <v>80509.789999999994</v>
      </c>
    </row>
    <row r="141" spans="12:13" x14ac:dyDescent="0.3">
      <c r="L141" s="5" t="s">
        <v>417</v>
      </c>
      <c r="M141" s="1">
        <v>80355.17</v>
      </c>
    </row>
    <row r="142" spans="12:13" x14ac:dyDescent="0.3">
      <c r="L142" s="5" t="s">
        <v>588</v>
      </c>
      <c r="M142" s="1">
        <v>80325.23</v>
      </c>
    </row>
    <row r="143" spans="12:13" x14ac:dyDescent="0.3">
      <c r="L143" s="5" t="s">
        <v>1399</v>
      </c>
      <c r="M143" s="1">
        <v>80311.94</v>
      </c>
    </row>
    <row r="144" spans="12:13" x14ac:dyDescent="0.3">
      <c r="L144" s="5" t="s">
        <v>1497</v>
      </c>
      <c r="M144" s="1">
        <v>80198.41</v>
      </c>
    </row>
    <row r="145" spans="12:13" x14ac:dyDescent="0.3">
      <c r="L145" s="5" t="s">
        <v>327</v>
      </c>
      <c r="M145" s="1">
        <v>80148.58</v>
      </c>
    </row>
    <row r="146" spans="12:13" x14ac:dyDescent="0.3">
      <c r="L146" s="5" t="s">
        <v>1363</v>
      </c>
      <c r="M146" s="1">
        <v>79890.97</v>
      </c>
    </row>
    <row r="147" spans="12:13" x14ac:dyDescent="0.3">
      <c r="L147" s="5" t="s">
        <v>709</v>
      </c>
      <c r="M147" s="1">
        <v>79884.72</v>
      </c>
    </row>
    <row r="148" spans="12:13" x14ac:dyDescent="0.3">
      <c r="L148" s="5" t="s">
        <v>548</v>
      </c>
      <c r="M148" s="1">
        <v>79869.539999999994</v>
      </c>
    </row>
    <row r="149" spans="12:13" x14ac:dyDescent="0.3">
      <c r="L149" s="5" t="s">
        <v>1417</v>
      </c>
      <c r="M149" s="1">
        <v>79832.27</v>
      </c>
    </row>
    <row r="150" spans="12:13" x14ac:dyDescent="0.3">
      <c r="L150" s="5" t="s">
        <v>667</v>
      </c>
      <c r="M150" s="1">
        <v>79747.789999999994</v>
      </c>
    </row>
    <row r="151" spans="12:13" x14ac:dyDescent="0.3">
      <c r="L151" s="5" t="s">
        <v>623</v>
      </c>
      <c r="M151" s="1">
        <v>79635.56</v>
      </c>
    </row>
    <row r="152" spans="12:13" x14ac:dyDescent="0.3">
      <c r="L152" s="5" t="s">
        <v>676</v>
      </c>
      <c r="M152" s="1">
        <v>79617.94</v>
      </c>
    </row>
    <row r="153" spans="12:13" x14ac:dyDescent="0.3">
      <c r="L153" s="5" t="s">
        <v>1304</v>
      </c>
      <c r="M153" s="1">
        <v>79534.48</v>
      </c>
    </row>
    <row r="154" spans="12:13" x14ac:dyDescent="0.3">
      <c r="L154" s="5" t="s">
        <v>341</v>
      </c>
      <c r="M154" s="1">
        <v>79465.34</v>
      </c>
    </row>
    <row r="155" spans="12:13" x14ac:dyDescent="0.3">
      <c r="L155" s="5" t="s">
        <v>564</v>
      </c>
      <c r="M155" s="1">
        <v>79397.56</v>
      </c>
    </row>
    <row r="156" spans="12:13" x14ac:dyDescent="0.3">
      <c r="L156" s="5" t="s">
        <v>632</v>
      </c>
      <c r="M156" s="1">
        <v>79257.86</v>
      </c>
    </row>
    <row r="157" spans="12:13" x14ac:dyDescent="0.3">
      <c r="L157" s="5" t="s">
        <v>679</v>
      </c>
      <c r="M157" s="1">
        <v>79255.06</v>
      </c>
    </row>
    <row r="158" spans="12:13" x14ac:dyDescent="0.3">
      <c r="L158" s="5" t="s">
        <v>715</v>
      </c>
      <c r="M158" s="1">
        <v>79171.649999999994</v>
      </c>
    </row>
    <row r="159" spans="12:13" x14ac:dyDescent="0.3">
      <c r="L159" s="5" t="s">
        <v>903</v>
      </c>
      <c r="M159" s="1">
        <v>79099.520000000004</v>
      </c>
    </row>
    <row r="160" spans="12:13" x14ac:dyDescent="0.3">
      <c r="L160" s="5" t="s">
        <v>51</v>
      </c>
      <c r="M160" s="1">
        <v>78897.61</v>
      </c>
    </row>
    <row r="161" spans="12:13" x14ac:dyDescent="0.3">
      <c r="L161" s="5" t="s">
        <v>192</v>
      </c>
      <c r="M161" s="1">
        <v>78845.03</v>
      </c>
    </row>
    <row r="162" spans="12:13" x14ac:dyDescent="0.3">
      <c r="L162" s="5" t="s">
        <v>1295</v>
      </c>
      <c r="M162" s="1">
        <v>78662.83</v>
      </c>
    </row>
    <row r="163" spans="12:13" x14ac:dyDescent="0.3">
      <c r="L163" s="5" t="s">
        <v>1001</v>
      </c>
      <c r="M163" s="1">
        <v>78566.95</v>
      </c>
    </row>
    <row r="164" spans="12:13" x14ac:dyDescent="0.3">
      <c r="L164" s="5" t="s">
        <v>302</v>
      </c>
      <c r="M164" s="1">
        <v>78532.259999999995</v>
      </c>
    </row>
    <row r="165" spans="12:13" x14ac:dyDescent="0.3">
      <c r="L165" s="5" t="s">
        <v>767</v>
      </c>
      <c r="M165" s="1">
        <v>78490.009999999995</v>
      </c>
    </row>
    <row r="166" spans="12:13" x14ac:dyDescent="0.3">
      <c r="L166" s="5" t="s">
        <v>66</v>
      </c>
      <c r="M166" s="1">
        <v>78218.86</v>
      </c>
    </row>
    <row r="167" spans="12:13" x14ac:dyDescent="0.3">
      <c r="L167" s="5" t="s">
        <v>1470</v>
      </c>
      <c r="M167" s="1">
        <v>78129.47</v>
      </c>
    </row>
    <row r="168" spans="12:13" x14ac:dyDescent="0.3">
      <c r="L168" s="5" t="s">
        <v>775</v>
      </c>
      <c r="M168" s="1">
        <v>78059.009999999995</v>
      </c>
    </row>
    <row r="169" spans="12:13" x14ac:dyDescent="0.3">
      <c r="L169" s="5" t="s">
        <v>955</v>
      </c>
      <c r="M169" s="1">
        <v>78053.62</v>
      </c>
    </row>
    <row r="170" spans="12:13" x14ac:dyDescent="0.3">
      <c r="L170" s="5" t="s">
        <v>926</v>
      </c>
      <c r="M170" s="1">
        <v>77885.59</v>
      </c>
    </row>
    <row r="171" spans="12:13" x14ac:dyDescent="0.3">
      <c r="L171" s="5" t="s">
        <v>1493</v>
      </c>
      <c r="M171" s="1">
        <v>77822.44</v>
      </c>
    </row>
    <row r="172" spans="12:13" x14ac:dyDescent="0.3">
      <c r="L172" s="5" t="s">
        <v>1520</v>
      </c>
      <c r="M172" s="1">
        <v>77547.95</v>
      </c>
    </row>
    <row r="173" spans="12:13" x14ac:dyDescent="0.3">
      <c r="L173" s="5" t="s">
        <v>1328</v>
      </c>
      <c r="M173" s="1">
        <v>77424.58</v>
      </c>
    </row>
    <row r="174" spans="12:13" x14ac:dyDescent="0.3">
      <c r="L174" s="5" t="s">
        <v>1273</v>
      </c>
      <c r="M174" s="1">
        <v>77353.45</v>
      </c>
    </row>
    <row r="175" spans="12:13" x14ac:dyDescent="0.3">
      <c r="L175" s="5" t="s">
        <v>1112</v>
      </c>
      <c r="M175" s="1">
        <v>77311.25</v>
      </c>
    </row>
    <row r="176" spans="12:13" x14ac:dyDescent="0.3">
      <c r="L176" s="5" t="s">
        <v>1276</v>
      </c>
      <c r="M176" s="1">
        <v>77105.05</v>
      </c>
    </row>
    <row r="177" spans="12:13" x14ac:dyDescent="0.3">
      <c r="L177" s="5" t="s">
        <v>1590</v>
      </c>
      <c r="M177" s="1">
        <v>77008.88</v>
      </c>
    </row>
    <row r="178" spans="12:13" x14ac:dyDescent="0.3">
      <c r="L178" s="5" t="s">
        <v>476</v>
      </c>
      <c r="M178" s="1">
        <v>76906.58</v>
      </c>
    </row>
    <row r="179" spans="12:13" x14ac:dyDescent="0.3">
      <c r="L179" s="5" t="s">
        <v>388</v>
      </c>
      <c r="M179" s="1">
        <v>76851.490000000005</v>
      </c>
    </row>
    <row r="180" spans="12:13" x14ac:dyDescent="0.3">
      <c r="L180" s="5" t="s">
        <v>823</v>
      </c>
      <c r="M180" s="1">
        <v>76795.78</v>
      </c>
    </row>
    <row r="181" spans="12:13" x14ac:dyDescent="0.3">
      <c r="L181" s="5" t="s">
        <v>166</v>
      </c>
      <c r="M181" s="1">
        <v>76721.960000000006</v>
      </c>
    </row>
    <row r="182" spans="12:13" x14ac:dyDescent="0.3">
      <c r="L182" s="5" t="s">
        <v>571</v>
      </c>
      <c r="M182" s="1">
        <v>76613.69</v>
      </c>
    </row>
    <row r="183" spans="12:13" x14ac:dyDescent="0.3">
      <c r="L183" s="5" t="s">
        <v>324</v>
      </c>
      <c r="M183" s="1">
        <v>76380.95</v>
      </c>
    </row>
    <row r="184" spans="12:13" x14ac:dyDescent="0.3">
      <c r="L184" s="5" t="s">
        <v>1215</v>
      </c>
      <c r="M184" s="1">
        <v>76283.06</v>
      </c>
    </row>
    <row r="185" spans="12:13" x14ac:dyDescent="0.3">
      <c r="L185" s="5" t="s">
        <v>1551</v>
      </c>
      <c r="M185" s="1">
        <v>76258.789999999994</v>
      </c>
    </row>
    <row r="186" spans="12:13" x14ac:dyDescent="0.3">
      <c r="L186" s="5" t="s">
        <v>435</v>
      </c>
      <c r="M186" s="1">
        <v>76256.36</v>
      </c>
    </row>
    <row r="187" spans="12:13" x14ac:dyDescent="0.3">
      <c r="L187" s="5" t="s">
        <v>872</v>
      </c>
      <c r="M187" s="1">
        <v>76222.38</v>
      </c>
    </row>
    <row r="188" spans="12:13" x14ac:dyDescent="0.3">
      <c r="L188" s="5" t="s">
        <v>883</v>
      </c>
      <c r="M188" s="1">
        <v>76197.759999999995</v>
      </c>
    </row>
    <row r="189" spans="12:13" x14ac:dyDescent="0.3">
      <c r="L189" s="5" t="s">
        <v>961</v>
      </c>
      <c r="M189" s="1">
        <v>76176.87</v>
      </c>
    </row>
    <row r="190" spans="12:13" x14ac:dyDescent="0.3">
      <c r="L190" s="5" t="s">
        <v>731</v>
      </c>
      <c r="M190" s="1">
        <v>76146.36</v>
      </c>
    </row>
    <row r="191" spans="12:13" x14ac:dyDescent="0.3">
      <c r="L191" s="5" t="s">
        <v>777</v>
      </c>
      <c r="M191" s="1">
        <v>76135.64</v>
      </c>
    </row>
    <row r="192" spans="12:13" x14ac:dyDescent="0.3">
      <c r="L192" s="5" t="s">
        <v>1204</v>
      </c>
      <c r="M192" s="1">
        <v>76110.77</v>
      </c>
    </row>
    <row r="193" spans="12:13" x14ac:dyDescent="0.3">
      <c r="L193" s="5" t="s">
        <v>965</v>
      </c>
      <c r="M193" s="1">
        <v>76096.399999999994</v>
      </c>
    </row>
    <row r="194" spans="12:13" x14ac:dyDescent="0.3">
      <c r="L194" s="5" t="s">
        <v>514</v>
      </c>
      <c r="M194" s="1">
        <v>75940.58</v>
      </c>
    </row>
    <row r="195" spans="12:13" x14ac:dyDescent="0.3">
      <c r="L195" s="5" t="s">
        <v>1527</v>
      </c>
      <c r="M195" s="1">
        <v>75607.94</v>
      </c>
    </row>
    <row r="196" spans="12:13" x14ac:dyDescent="0.3">
      <c r="L196" s="5" t="s">
        <v>1171</v>
      </c>
      <c r="M196" s="1">
        <v>75564.429999999993</v>
      </c>
    </row>
    <row r="197" spans="12:13" x14ac:dyDescent="0.3">
      <c r="L197" s="5" t="s">
        <v>439</v>
      </c>
      <c r="M197" s="1">
        <v>75354.929999999993</v>
      </c>
    </row>
    <row r="198" spans="12:13" x14ac:dyDescent="0.3">
      <c r="L198" s="5" t="s">
        <v>577</v>
      </c>
      <c r="M198" s="1">
        <v>75103.64</v>
      </c>
    </row>
    <row r="199" spans="12:13" x14ac:dyDescent="0.3">
      <c r="L199" s="5" t="s">
        <v>1533</v>
      </c>
      <c r="M199" s="1">
        <v>75072.13</v>
      </c>
    </row>
    <row r="200" spans="12:13" x14ac:dyDescent="0.3">
      <c r="L200" s="5" t="s">
        <v>840</v>
      </c>
      <c r="M200" s="1">
        <v>74964.75</v>
      </c>
    </row>
    <row r="201" spans="12:13" x14ac:dyDescent="0.3">
      <c r="L201" s="5" t="s">
        <v>1306</v>
      </c>
      <c r="M201" s="1">
        <v>74761.13</v>
      </c>
    </row>
    <row r="202" spans="12:13" x14ac:dyDescent="0.3">
      <c r="L202" s="5" t="s">
        <v>1442</v>
      </c>
      <c r="M202" s="1">
        <v>74734.62</v>
      </c>
    </row>
    <row r="203" spans="12:13" x14ac:dyDescent="0.3">
      <c r="L203" s="5" t="s">
        <v>1030</v>
      </c>
      <c r="M203" s="1">
        <v>74719.199999999997</v>
      </c>
    </row>
    <row r="204" spans="12:13" x14ac:dyDescent="0.3">
      <c r="L204" s="5" t="s">
        <v>1599</v>
      </c>
      <c r="M204" s="1">
        <v>74700.899999999994</v>
      </c>
    </row>
    <row r="205" spans="12:13" x14ac:dyDescent="0.3">
      <c r="L205" s="5" t="s">
        <v>1421</v>
      </c>
      <c r="M205" s="1">
        <v>74664.2</v>
      </c>
    </row>
    <row r="206" spans="12:13" x14ac:dyDescent="0.3">
      <c r="L206" s="5" t="s">
        <v>905</v>
      </c>
      <c r="M206" s="1">
        <v>74581.740000000005</v>
      </c>
    </row>
    <row r="207" spans="12:13" x14ac:dyDescent="0.3">
      <c r="L207" s="5" t="s">
        <v>1340</v>
      </c>
      <c r="M207" s="1">
        <v>74529.25</v>
      </c>
    </row>
    <row r="208" spans="12:13" x14ac:dyDescent="0.3">
      <c r="L208" s="5" t="s">
        <v>897</v>
      </c>
      <c r="M208" s="1">
        <v>74370.36</v>
      </c>
    </row>
    <row r="209" spans="12:13" x14ac:dyDescent="0.3">
      <c r="L209" s="5" t="s">
        <v>457</v>
      </c>
      <c r="M209" s="1">
        <v>74345.740000000005</v>
      </c>
    </row>
    <row r="210" spans="12:13" x14ac:dyDescent="0.3">
      <c r="L210" s="5" t="s">
        <v>650</v>
      </c>
      <c r="M210" s="1">
        <v>74254.36</v>
      </c>
    </row>
    <row r="211" spans="12:13" x14ac:dyDescent="0.3">
      <c r="L211" s="5" t="s">
        <v>645</v>
      </c>
      <c r="M211" s="1">
        <v>74175.7</v>
      </c>
    </row>
    <row r="212" spans="12:13" x14ac:dyDescent="0.3">
      <c r="L212" s="5" t="s">
        <v>1568</v>
      </c>
      <c r="M212" s="1">
        <v>73999.53</v>
      </c>
    </row>
    <row r="213" spans="12:13" x14ac:dyDescent="0.3">
      <c r="L213" s="5" t="s">
        <v>681</v>
      </c>
      <c r="M213" s="1">
        <v>73913.31</v>
      </c>
    </row>
    <row r="214" spans="12:13" x14ac:dyDescent="0.3">
      <c r="L214" s="5" t="s">
        <v>1570</v>
      </c>
      <c r="M214" s="1">
        <v>73897.58</v>
      </c>
    </row>
    <row r="215" spans="12:13" x14ac:dyDescent="0.3">
      <c r="L215" s="5" t="s">
        <v>1532</v>
      </c>
      <c r="M215" s="1">
        <v>73891.53</v>
      </c>
    </row>
    <row r="216" spans="12:13" x14ac:dyDescent="0.3">
      <c r="L216" s="5" t="s">
        <v>1601</v>
      </c>
      <c r="M216" s="1">
        <v>73877.259999999995</v>
      </c>
    </row>
    <row r="217" spans="12:13" x14ac:dyDescent="0.3">
      <c r="L217" s="5" t="s">
        <v>1375</v>
      </c>
      <c r="M217" s="1">
        <v>73842.12</v>
      </c>
    </row>
    <row r="218" spans="12:13" x14ac:dyDescent="0.3">
      <c r="L218" s="5" t="s">
        <v>1151</v>
      </c>
      <c r="M218" s="1">
        <v>73501.55</v>
      </c>
    </row>
    <row r="219" spans="12:13" x14ac:dyDescent="0.3">
      <c r="L219" s="5" t="s">
        <v>729</v>
      </c>
      <c r="M219" s="1">
        <v>73289.83</v>
      </c>
    </row>
    <row r="220" spans="12:13" x14ac:dyDescent="0.3">
      <c r="L220" s="5" t="s">
        <v>1137</v>
      </c>
      <c r="M220" s="1">
        <v>73238.47</v>
      </c>
    </row>
    <row r="221" spans="12:13" x14ac:dyDescent="0.3">
      <c r="L221" s="5" t="s">
        <v>1200</v>
      </c>
      <c r="M221" s="1">
        <v>73146.25</v>
      </c>
    </row>
    <row r="222" spans="12:13" x14ac:dyDescent="0.3">
      <c r="L222" s="5" t="s">
        <v>332</v>
      </c>
      <c r="M222" s="1">
        <v>73143.22</v>
      </c>
    </row>
    <row r="223" spans="12:13" x14ac:dyDescent="0.3">
      <c r="L223" s="5" t="s">
        <v>598</v>
      </c>
      <c r="M223" s="1">
        <v>73055.62</v>
      </c>
    </row>
    <row r="224" spans="12:13" x14ac:dyDescent="0.3">
      <c r="L224" s="5" t="s">
        <v>1191</v>
      </c>
      <c r="M224" s="1">
        <v>72957.149999999994</v>
      </c>
    </row>
    <row r="225" spans="12:13" x14ac:dyDescent="0.3">
      <c r="L225" s="5" t="s">
        <v>1118</v>
      </c>
      <c r="M225" s="1">
        <v>72897.94</v>
      </c>
    </row>
    <row r="226" spans="12:13" x14ac:dyDescent="0.3">
      <c r="L226" s="5" t="s">
        <v>744</v>
      </c>
      <c r="M226" s="1">
        <v>72886.05</v>
      </c>
    </row>
    <row r="227" spans="12:13" x14ac:dyDescent="0.3">
      <c r="L227" s="5" t="s">
        <v>1097</v>
      </c>
      <c r="M227" s="1">
        <v>72729.14</v>
      </c>
    </row>
    <row r="228" spans="12:13" x14ac:dyDescent="0.3">
      <c r="L228" s="5" t="s">
        <v>1435</v>
      </c>
      <c r="M228" s="1">
        <v>72697.149999999994</v>
      </c>
    </row>
    <row r="229" spans="12:13" x14ac:dyDescent="0.3">
      <c r="L229" s="5" t="s">
        <v>793</v>
      </c>
      <c r="M229" s="1">
        <v>72502.7</v>
      </c>
    </row>
    <row r="230" spans="12:13" x14ac:dyDescent="0.3">
      <c r="L230" s="5" t="s">
        <v>557</v>
      </c>
      <c r="M230" s="1">
        <v>72406.880000000005</v>
      </c>
    </row>
    <row r="231" spans="12:13" x14ac:dyDescent="0.3">
      <c r="L231" s="5" t="s">
        <v>665</v>
      </c>
      <c r="M231" s="1">
        <v>72328</v>
      </c>
    </row>
    <row r="232" spans="12:13" x14ac:dyDescent="0.3">
      <c r="L232" s="5" t="s">
        <v>511</v>
      </c>
      <c r="M232" s="1">
        <v>72313.77</v>
      </c>
    </row>
    <row r="233" spans="12:13" x14ac:dyDescent="0.3">
      <c r="L233" s="5" t="s">
        <v>574</v>
      </c>
      <c r="M233" s="1">
        <v>72305.7</v>
      </c>
    </row>
    <row r="234" spans="12:13" x14ac:dyDescent="0.3">
      <c r="L234" s="5" t="s">
        <v>939</v>
      </c>
      <c r="M234" s="1">
        <v>72302.080000000002</v>
      </c>
    </row>
    <row r="235" spans="12:13" x14ac:dyDescent="0.3">
      <c r="L235" s="5" t="s">
        <v>161</v>
      </c>
      <c r="M235" s="1">
        <v>72131.820000000007</v>
      </c>
    </row>
    <row r="236" spans="12:13" x14ac:dyDescent="0.3">
      <c r="L236" s="5" t="s">
        <v>154</v>
      </c>
      <c r="M236" s="1">
        <v>72118.820000000007</v>
      </c>
    </row>
    <row r="237" spans="12:13" x14ac:dyDescent="0.3">
      <c r="L237" s="5" t="s">
        <v>688</v>
      </c>
      <c r="M237" s="1">
        <v>72022.8</v>
      </c>
    </row>
    <row r="238" spans="12:13" x14ac:dyDescent="0.3">
      <c r="L238" s="5" t="s">
        <v>1023</v>
      </c>
      <c r="M238" s="1">
        <v>71877.64</v>
      </c>
    </row>
    <row r="239" spans="12:13" x14ac:dyDescent="0.3">
      <c r="L239" s="5" t="s">
        <v>544</v>
      </c>
      <c r="M239" s="1">
        <v>71813.289999999994</v>
      </c>
    </row>
    <row r="240" spans="12:13" x14ac:dyDescent="0.3">
      <c r="L240" s="5" t="s">
        <v>934</v>
      </c>
      <c r="M240" s="1">
        <v>71564.5</v>
      </c>
    </row>
    <row r="241" spans="12:13" x14ac:dyDescent="0.3">
      <c r="L241" s="5" t="s">
        <v>954</v>
      </c>
      <c r="M241" s="1">
        <v>71415.56</v>
      </c>
    </row>
    <row r="242" spans="12:13" x14ac:dyDescent="0.3">
      <c r="L242" s="5" t="s">
        <v>892</v>
      </c>
      <c r="M242" s="1">
        <v>71299.039999999994</v>
      </c>
    </row>
    <row r="243" spans="12:13" x14ac:dyDescent="0.3">
      <c r="L243" s="5" t="s">
        <v>597</v>
      </c>
      <c r="M243" s="1">
        <v>71296.899999999994</v>
      </c>
    </row>
    <row r="244" spans="12:13" x14ac:dyDescent="0.3">
      <c r="L244" s="5" t="s">
        <v>1264</v>
      </c>
      <c r="M244" s="1">
        <v>71273.259999999995</v>
      </c>
    </row>
    <row r="245" spans="12:13" x14ac:dyDescent="0.3">
      <c r="L245" s="5" t="s">
        <v>1188</v>
      </c>
      <c r="M245" s="1">
        <v>71215.44</v>
      </c>
    </row>
    <row r="246" spans="12:13" x14ac:dyDescent="0.3">
      <c r="L246" s="5" t="s">
        <v>430</v>
      </c>
      <c r="M246" s="1">
        <v>71183.81</v>
      </c>
    </row>
    <row r="247" spans="12:13" x14ac:dyDescent="0.3">
      <c r="L247" s="5" t="s">
        <v>1270</v>
      </c>
      <c r="M247" s="1">
        <v>71135.990000000005</v>
      </c>
    </row>
    <row r="248" spans="12:13" x14ac:dyDescent="0.3">
      <c r="L248" s="5" t="s">
        <v>1595</v>
      </c>
      <c r="M248" s="1">
        <v>71015.199999999997</v>
      </c>
    </row>
    <row r="249" spans="12:13" x14ac:dyDescent="0.3">
      <c r="L249" s="5" t="s">
        <v>1208</v>
      </c>
      <c r="M249" s="1">
        <v>70927.320000000007</v>
      </c>
    </row>
    <row r="250" spans="12:13" x14ac:dyDescent="0.3">
      <c r="L250" s="5" t="s">
        <v>517</v>
      </c>
      <c r="M250" s="1">
        <v>70895.740000000005</v>
      </c>
    </row>
    <row r="251" spans="12:13" x14ac:dyDescent="0.3">
      <c r="L251" s="5" t="s">
        <v>779</v>
      </c>
      <c r="M251" s="1">
        <v>70781.53</v>
      </c>
    </row>
    <row r="252" spans="12:13" x14ac:dyDescent="0.3">
      <c r="L252" s="5" t="s">
        <v>1397</v>
      </c>
      <c r="M252" s="1">
        <v>70608.399999999994</v>
      </c>
    </row>
    <row r="253" spans="12:13" x14ac:dyDescent="0.3">
      <c r="L253" s="5" t="s">
        <v>1218</v>
      </c>
      <c r="M253" s="1">
        <v>70459.53</v>
      </c>
    </row>
    <row r="254" spans="12:13" x14ac:dyDescent="0.3">
      <c r="L254" s="5" t="s">
        <v>1044</v>
      </c>
      <c r="M254" s="1">
        <v>70346.61</v>
      </c>
    </row>
    <row r="255" spans="12:13" x14ac:dyDescent="0.3">
      <c r="L255" s="5" t="s">
        <v>274</v>
      </c>
      <c r="M255" s="1">
        <v>70321.2</v>
      </c>
    </row>
    <row r="256" spans="12:13" x14ac:dyDescent="0.3">
      <c r="L256" s="5" t="s">
        <v>743</v>
      </c>
      <c r="M256" s="1">
        <v>70314.429999999993</v>
      </c>
    </row>
    <row r="257" spans="12:13" x14ac:dyDescent="0.3">
      <c r="L257" s="5" t="s">
        <v>765</v>
      </c>
      <c r="M257" s="1">
        <v>70199.47</v>
      </c>
    </row>
    <row r="258" spans="12:13" x14ac:dyDescent="0.3">
      <c r="L258" s="5" t="s">
        <v>1168</v>
      </c>
      <c r="M258" s="1">
        <v>70193.87</v>
      </c>
    </row>
    <row r="259" spans="12:13" x14ac:dyDescent="0.3">
      <c r="L259" s="5" t="s">
        <v>222</v>
      </c>
      <c r="M259" s="1">
        <v>69914.06</v>
      </c>
    </row>
    <row r="260" spans="12:13" x14ac:dyDescent="0.3">
      <c r="L260" s="5" t="s">
        <v>360</v>
      </c>
      <c r="M260" s="1">
        <v>69815.8</v>
      </c>
    </row>
    <row r="261" spans="12:13" x14ac:dyDescent="0.3">
      <c r="L261" s="5" t="s">
        <v>1583</v>
      </c>
      <c r="M261" s="1">
        <v>69710.77</v>
      </c>
    </row>
    <row r="262" spans="12:13" x14ac:dyDescent="0.3">
      <c r="L262" s="5" t="s">
        <v>1037</v>
      </c>
      <c r="M262" s="1">
        <v>69661.009999999995</v>
      </c>
    </row>
    <row r="263" spans="12:13" x14ac:dyDescent="0.3">
      <c r="L263" s="5" t="s">
        <v>1572</v>
      </c>
      <c r="M263" s="1">
        <v>69633.45</v>
      </c>
    </row>
    <row r="264" spans="12:13" x14ac:dyDescent="0.3">
      <c r="L264" s="5" t="s">
        <v>1312</v>
      </c>
      <c r="M264" s="1">
        <v>69495.45</v>
      </c>
    </row>
    <row r="265" spans="12:13" x14ac:dyDescent="0.3">
      <c r="L265" s="5" t="s">
        <v>1064</v>
      </c>
      <c r="M265" s="1">
        <v>69480.06</v>
      </c>
    </row>
    <row r="266" spans="12:13" x14ac:dyDescent="0.3">
      <c r="L266" s="5" t="s">
        <v>986</v>
      </c>
      <c r="M266" s="1">
        <v>69436.92</v>
      </c>
    </row>
    <row r="267" spans="12:13" x14ac:dyDescent="0.3">
      <c r="L267" s="5" t="s">
        <v>1277</v>
      </c>
      <c r="M267" s="1">
        <v>69338.52</v>
      </c>
    </row>
    <row r="268" spans="12:13" x14ac:dyDescent="0.3">
      <c r="L268" s="5" t="s">
        <v>758</v>
      </c>
      <c r="M268" s="1">
        <v>69293.490000000005</v>
      </c>
    </row>
    <row r="269" spans="12:13" x14ac:dyDescent="0.3">
      <c r="L269" s="5" t="s">
        <v>225</v>
      </c>
      <c r="M269" s="1">
        <v>69226.100000000006</v>
      </c>
    </row>
    <row r="270" spans="12:13" x14ac:dyDescent="0.3">
      <c r="L270" s="5" t="s">
        <v>1459</v>
      </c>
      <c r="M270" s="1">
        <v>69202.66</v>
      </c>
    </row>
    <row r="271" spans="12:13" x14ac:dyDescent="0.3">
      <c r="L271" s="5" t="s">
        <v>1212</v>
      </c>
      <c r="M271" s="1">
        <v>69194.100000000006</v>
      </c>
    </row>
    <row r="272" spans="12:13" x14ac:dyDescent="0.3">
      <c r="L272" s="5" t="s">
        <v>60</v>
      </c>
      <c r="M272" s="1">
        <v>69042.67</v>
      </c>
    </row>
    <row r="273" spans="12:13" x14ac:dyDescent="0.3">
      <c r="L273" s="5" t="s">
        <v>726</v>
      </c>
      <c r="M273" s="1">
        <v>69000.149999999994</v>
      </c>
    </row>
    <row r="274" spans="12:13" x14ac:dyDescent="0.3">
      <c r="L274" s="5" t="s">
        <v>1351</v>
      </c>
      <c r="M274" s="1">
        <v>68937.930000000008</v>
      </c>
    </row>
    <row r="275" spans="12:13" x14ac:dyDescent="0.3">
      <c r="L275" s="5" t="s">
        <v>828</v>
      </c>
      <c r="M275" s="1">
        <v>68866.87</v>
      </c>
    </row>
    <row r="276" spans="12:13" x14ac:dyDescent="0.3">
      <c r="L276" s="5" t="s">
        <v>1451</v>
      </c>
      <c r="M276" s="1">
        <v>68834.25</v>
      </c>
    </row>
    <row r="277" spans="12:13" x14ac:dyDescent="0.3">
      <c r="L277" s="5" t="s">
        <v>1285</v>
      </c>
      <c r="M277" s="1">
        <v>68834.070000000007</v>
      </c>
    </row>
    <row r="278" spans="12:13" x14ac:dyDescent="0.3">
      <c r="L278" s="5" t="s">
        <v>827</v>
      </c>
      <c r="M278" s="1">
        <v>68758.87</v>
      </c>
    </row>
    <row r="279" spans="12:13" x14ac:dyDescent="0.3">
      <c r="L279" s="5" t="s">
        <v>1596</v>
      </c>
      <c r="M279" s="1">
        <v>68698.759999999995</v>
      </c>
    </row>
    <row r="280" spans="12:13" x14ac:dyDescent="0.3">
      <c r="L280" s="5" t="s">
        <v>603</v>
      </c>
      <c r="M280" s="1">
        <v>68667.649999999994</v>
      </c>
    </row>
    <row r="281" spans="12:13" x14ac:dyDescent="0.3">
      <c r="L281" s="5" t="s">
        <v>884</v>
      </c>
      <c r="M281" s="1">
        <v>68645.490000000005</v>
      </c>
    </row>
    <row r="282" spans="12:13" x14ac:dyDescent="0.3">
      <c r="L282" s="5" t="s">
        <v>1543</v>
      </c>
      <c r="M282" s="1">
        <v>68486.429999999993</v>
      </c>
    </row>
    <row r="283" spans="12:13" x14ac:dyDescent="0.3">
      <c r="L283" s="5" t="s">
        <v>1360</v>
      </c>
      <c r="M283" s="1">
        <v>68446.929999999993</v>
      </c>
    </row>
    <row r="284" spans="12:13" x14ac:dyDescent="0.3">
      <c r="L284" s="5" t="s">
        <v>1115</v>
      </c>
      <c r="M284" s="1">
        <v>68433.460000000006</v>
      </c>
    </row>
    <row r="285" spans="12:13" x14ac:dyDescent="0.3">
      <c r="L285" s="5" t="s">
        <v>714</v>
      </c>
      <c r="M285" s="1">
        <v>68196.160000000003</v>
      </c>
    </row>
    <row r="286" spans="12:13" x14ac:dyDescent="0.3">
      <c r="L286" s="5" t="s">
        <v>1469</v>
      </c>
      <c r="M286" s="1">
        <v>68189.09</v>
      </c>
    </row>
    <row r="287" spans="12:13" x14ac:dyDescent="0.3">
      <c r="L287" s="5" t="s">
        <v>1262</v>
      </c>
      <c r="M287" s="1">
        <v>68183.81</v>
      </c>
    </row>
    <row r="288" spans="12:13" x14ac:dyDescent="0.3">
      <c r="L288" s="5" t="s">
        <v>1433</v>
      </c>
      <c r="M288" s="1">
        <v>68115.960000000006</v>
      </c>
    </row>
    <row r="289" spans="12:13" x14ac:dyDescent="0.3">
      <c r="L289" s="5" t="s">
        <v>674</v>
      </c>
      <c r="M289" s="1">
        <v>68015.58</v>
      </c>
    </row>
    <row r="290" spans="12:13" x14ac:dyDescent="0.3">
      <c r="L290" s="5" t="s">
        <v>1341</v>
      </c>
      <c r="M290" s="1">
        <v>67962.66</v>
      </c>
    </row>
    <row r="291" spans="12:13" x14ac:dyDescent="0.3">
      <c r="L291" s="5" t="s">
        <v>1404</v>
      </c>
      <c r="M291" s="1">
        <v>67927.899999999994</v>
      </c>
    </row>
    <row r="292" spans="12:13" x14ac:dyDescent="0.3">
      <c r="L292" s="5" t="s">
        <v>1303</v>
      </c>
      <c r="M292" s="1">
        <v>67927.17</v>
      </c>
    </row>
    <row r="293" spans="12:13" x14ac:dyDescent="0.3">
      <c r="L293" s="5" t="s">
        <v>1385</v>
      </c>
      <c r="M293" s="1">
        <v>67778.09</v>
      </c>
    </row>
    <row r="294" spans="12:13" x14ac:dyDescent="0.3">
      <c r="L294" s="5" t="s">
        <v>466</v>
      </c>
      <c r="M294" s="1">
        <v>67478.05</v>
      </c>
    </row>
    <row r="295" spans="12:13" x14ac:dyDescent="0.3">
      <c r="L295" s="5" t="s">
        <v>1223</v>
      </c>
      <c r="M295" s="1">
        <v>67322.48</v>
      </c>
    </row>
    <row r="296" spans="12:13" x14ac:dyDescent="0.3">
      <c r="L296" s="5" t="s">
        <v>1361</v>
      </c>
      <c r="M296" s="1">
        <v>67304.820000000007</v>
      </c>
    </row>
    <row r="297" spans="12:13" x14ac:dyDescent="0.3">
      <c r="L297" s="5" t="s">
        <v>1480</v>
      </c>
      <c r="M297" s="1">
        <v>67043.78</v>
      </c>
    </row>
    <row r="298" spans="12:13" x14ac:dyDescent="0.3">
      <c r="L298" s="5" t="s">
        <v>975</v>
      </c>
      <c r="M298" s="1">
        <v>67014.289999999994</v>
      </c>
    </row>
    <row r="299" spans="12:13" x14ac:dyDescent="0.3">
      <c r="L299" s="5" t="s">
        <v>1203</v>
      </c>
      <c r="M299" s="1">
        <v>66876.81</v>
      </c>
    </row>
    <row r="300" spans="12:13" x14ac:dyDescent="0.3">
      <c r="L300" s="5" t="s">
        <v>443</v>
      </c>
      <c r="M300" s="1">
        <v>66856.86</v>
      </c>
    </row>
    <row r="301" spans="12:13" x14ac:dyDescent="0.3">
      <c r="L301" s="5" t="s">
        <v>1297</v>
      </c>
      <c r="M301" s="1">
        <v>66829.61</v>
      </c>
    </row>
    <row r="302" spans="12:13" x14ac:dyDescent="0.3">
      <c r="L302" s="5" t="s">
        <v>908</v>
      </c>
      <c r="M302" s="1">
        <v>66781.539999999994</v>
      </c>
    </row>
    <row r="303" spans="12:13" x14ac:dyDescent="0.3">
      <c r="L303" s="5" t="s">
        <v>310</v>
      </c>
      <c r="M303" s="1">
        <v>66597.039999999994</v>
      </c>
    </row>
    <row r="304" spans="12:13" x14ac:dyDescent="0.3">
      <c r="L304" s="5" t="s">
        <v>450</v>
      </c>
      <c r="M304" s="1">
        <v>66245.789999999994</v>
      </c>
    </row>
    <row r="305" spans="12:13" x14ac:dyDescent="0.3">
      <c r="L305" s="5" t="s">
        <v>524</v>
      </c>
      <c r="M305" s="1">
        <v>66165.64</v>
      </c>
    </row>
    <row r="306" spans="12:13" x14ac:dyDescent="0.3">
      <c r="L306" s="5" t="s">
        <v>201</v>
      </c>
      <c r="M306" s="1">
        <v>66063.98</v>
      </c>
    </row>
    <row r="307" spans="12:13" x14ac:dyDescent="0.3">
      <c r="L307" s="5" t="s">
        <v>1559</v>
      </c>
      <c r="M307" s="1">
        <v>65765.13</v>
      </c>
    </row>
    <row r="308" spans="12:13" x14ac:dyDescent="0.3">
      <c r="L308" s="5" t="s">
        <v>1591</v>
      </c>
      <c r="M308" s="1">
        <v>65484.639999999999</v>
      </c>
    </row>
    <row r="309" spans="12:13" x14ac:dyDescent="0.3">
      <c r="L309" s="5" t="s">
        <v>1169</v>
      </c>
      <c r="M309" s="1">
        <v>65440.12</v>
      </c>
    </row>
    <row r="310" spans="12:13" x14ac:dyDescent="0.3">
      <c r="L310" s="5" t="s">
        <v>551</v>
      </c>
      <c r="M310" s="1">
        <v>65404.32</v>
      </c>
    </row>
    <row r="311" spans="12:13" x14ac:dyDescent="0.3">
      <c r="L311" s="5" t="s">
        <v>1574</v>
      </c>
      <c r="M311" s="1">
        <v>65334.18</v>
      </c>
    </row>
    <row r="312" spans="12:13" x14ac:dyDescent="0.3">
      <c r="L312" s="5" t="s">
        <v>1247</v>
      </c>
      <c r="M312" s="1">
        <v>65324.47</v>
      </c>
    </row>
    <row r="313" spans="12:13" x14ac:dyDescent="0.3">
      <c r="L313" s="5" t="s">
        <v>1039</v>
      </c>
      <c r="M313" s="1">
        <v>65143.68</v>
      </c>
    </row>
    <row r="314" spans="12:13" x14ac:dyDescent="0.3">
      <c r="L314" s="5" t="s">
        <v>1499</v>
      </c>
      <c r="M314" s="1">
        <v>65142.33</v>
      </c>
    </row>
    <row r="315" spans="12:13" x14ac:dyDescent="0.3">
      <c r="L315" s="5" t="s">
        <v>1196</v>
      </c>
      <c r="M315" s="1">
        <v>64764.77</v>
      </c>
    </row>
    <row r="316" spans="12:13" x14ac:dyDescent="0.3">
      <c r="L316" s="5" t="s">
        <v>981</v>
      </c>
      <c r="M316" s="1">
        <v>64740.06</v>
      </c>
    </row>
    <row r="317" spans="12:13" x14ac:dyDescent="0.3">
      <c r="L317" s="5" t="s">
        <v>862</v>
      </c>
      <c r="M317" s="1">
        <v>64483.46</v>
      </c>
    </row>
    <row r="318" spans="12:13" x14ac:dyDescent="0.3">
      <c r="L318" s="5" t="s">
        <v>752</v>
      </c>
      <c r="M318" s="1">
        <v>64375.41</v>
      </c>
    </row>
    <row r="319" spans="12:13" x14ac:dyDescent="0.3">
      <c r="L319" s="5" t="s">
        <v>987</v>
      </c>
      <c r="M319" s="1">
        <v>64283.98</v>
      </c>
    </row>
    <row r="320" spans="12:13" x14ac:dyDescent="0.3">
      <c r="L320" s="5" t="s">
        <v>1265</v>
      </c>
      <c r="M320" s="1">
        <v>64156.57</v>
      </c>
    </row>
    <row r="321" spans="12:13" x14ac:dyDescent="0.3">
      <c r="L321" s="5" t="s">
        <v>1230</v>
      </c>
      <c r="M321" s="1">
        <v>64145.120000000003</v>
      </c>
    </row>
    <row r="322" spans="12:13" x14ac:dyDescent="0.3">
      <c r="L322" s="5" t="s">
        <v>1585</v>
      </c>
      <c r="M322" s="1">
        <v>64058.33</v>
      </c>
    </row>
    <row r="323" spans="12:13" x14ac:dyDescent="0.3">
      <c r="L323" s="5" t="s">
        <v>276</v>
      </c>
      <c r="M323" s="1">
        <v>64022.78</v>
      </c>
    </row>
    <row r="324" spans="12:13" x14ac:dyDescent="0.3">
      <c r="L324" s="5" t="s">
        <v>698</v>
      </c>
      <c r="M324" s="1">
        <v>63974.71</v>
      </c>
    </row>
    <row r="325" spans="12:13" x14ac:dyDescent="0.3">
      <c r="L325" s="5" t="s">
        <v>1163</v>
      </c>
      <c r="M325" s="1">
        <v>63934.080000000002</v>
      </c>
    </row>
    <row r="326" spans="12:13" x14ac:dyDescent="0.3">
      <c r="L326" s="5" t="s">
        <v>808</v>
      </c>
      <c r="M326" s="1">
        <v>63857.48</v>
      </c>
    </row>
    <row r="327" spans="12:13" x14ac:dyDescent="0.3">
      <c r="L327" s="5" t="s">
        <v>1553</v>
      </c>
      <c r="M327" s="1">
        <v>63755.39</v>
      </c>
    </row>
    <row r="328" spans="12:13" x14ac:dyDescent="0.3">
      <c r="L328" s="5" t="s">
        <v>1008</v>
      </c>
      <c r="M328" s="1">
        <v>63727.97</v>
      </c>
    </row>
    <row r="329" spans="12:13" x14ac:dyDescent="0.3">
      <c r="L329" s="5" t="s">
        <v>606</v>
      </c>
      <c r="M329" s="1">
        <v>63536.7</v>
      </c>
    </row>
    <row r="330" spans="12:13" x14ac:dyDescent="0.3">
      <c r="L330" s="5" t="s">
        <v>902</v>
      </c>
      <c r="M330" s="1">
        <v>63403.15</v>
      </c>
    </row>
    <row r="331" spans="12:13" x14ac:dyDescent="0.3">
      <c r="L331" s="5" t="s">
        <v>978</v>
      </c>
      <c r="M331" s="1">
        <v>63394.44</v>
      </c>
    </row>
    <row r="332" spans="12:13" x14ac:dyDescent="0.3">
      <c r="L332" s="5" t="s">
        <v>1542</v>
      </c>
      <c r="M332" s="1">
        <v>63337.02</v>
      </c>
    </row>
    <row r="333" spans="12:13" x14ac:dyDescent="0.3">
      <c r="L333" s="5" t="s">
        <v>1450</v>
      </c>
      <c r="M333" s="1">
        <v>63304.24</v>
      </c>
    </row>
    <row r="334" spans="12:13" x14ac:dyDescent="0.3">
      <c r="L334" s="5" t="s">
        <v>1051</v>
      </c>
      <c r="M334" s="1">
        <v>62827.32</v>
      </c>
    </row>
    <row r="335" spans="12:13" x14ac:dyDescent="0.3">
      <c r="L335" s="5" t="s">
        <v>1194</v>
      </c>
      <c r="M335" s="1">
        <v>62807.57</v>
      </c>
    </row>
    <row r="336" spans="12:13" x14ac:dyDescent="0.3">
      <c r="L336" s="5" t="s">
        <v>1402</v>
      </c>
      <c r="M336" s="1">
        <v>62693.27</v>
      </c>
    </row>
    <row r="337" spans="12:13" x14ac:dyDescent="0.3">
      <c r="L337" s="5" t="s">
        <v>788</v>
      </c>
      <c r="M337" s="1">
        <v>62603.68</v>
      </c>
    </row>
    <row r="338" spans="12:13" x14ac:dyDescent="0.3">
      <c r="L338" s="5" t="s">
        <v>1353</v>
      </c>
      <c r="M338" s="1">
        <v>62393.02</v>
      </c>
    </row>
    <row r="339" spans="12:13" x14ac:dyDescent="0.3">
      <c r="L339" s="5" t="s">
        <v>963</v>
      </c>
      <c r="M339" s="1">
        <v>62381.87</v>
      </c>
    </row>
    <row r="340" spans="12:13" x14ac:dyDescent="0.3">
      <c r="L340" s="5" t="s">
        <v>87</v>
      </c>
      <c r="M340" s="1">
        <v>62203.519999999997</v>
      </c>
    </row>
    <row r="341" spans="12:13" x14ac:dyDescent="0.3">
      <c r="L341" s="5" t="s">
        <v>1506</v>
      </c>
      <c r="M341" s="1">
        <v>62132.35</v>
      </c>
    </row>
    <row r="342" spans="12:13" x14ac:dyDescent="0.3">
      <c r="L342" s="5" t="s">
        <v>1465</v>
      </c>
      <c r="M342" s="1">
        <v>62116.29</v>
      </c>
    </row>
    <row r="343" spans="12:13" x14ac:dyDescent="0.3">
      <c r="L343" s="5" t="s">
        <v>1284</v>
      </c>
      <c r="M343" s="1">
        <v>62064.73</v>
      </c>
    </row>
    <row r="344" spans="12:13" x14ac:dyDescent="0.3">
      <c r="L344" s="5" t="s">
        <v>617</v>
      </c>
      <c r="M344" s="1">
        <v>61997.72</v>
      </c>
    </row>
    <row r="345" spans="12:13" x14ac:dyDescent="0.3">
      <c r="L345" s="5" t="s">
        <v>1217</v>
      </c>
      <c r="M345" s="1">
        <v>61995.3</v>
      </c>
    </row>
    <row r="346" spans="12:13" x14ac:dyDescent="0.3">
      <c r="L346" s="5" t="s">
        <v>43</v>
      </c>
      <c r="M346" s="1">
        <v>61955.96</v>
      </c>
    </row>
    <row r="347" spans="12:13" x14ac:dyDescent="0.3">
      <c r="L347" s="5" t="s">
        <v>1549</v>
      </c>
      <c r="M347" s="1">
        <v>61798.2</v>
      </c>
    </row>
    <row r="348" spans="12:13" x14ac:dyDescent="0.3">
      <c r="L348" s="5" t="s">
        <v>996</v>
      </c>
      <c r="M348" s="1">
        <v>61537.33</v>
      </c>
    </row>
    <row r="349" spans="12:13" x14ac:dyDescent="0.3">
      <c r="L349" s="5" t="s">
        <v>1354</v>
      </c>
      <c r="M349" s="1">
        <v>61492.959999999999</v>
      </c>
    </row>
    <row r="350" spans="12:13" x14ac:dyDescent="0.3">
      <c r="L350" s="5" t="s">
        <v>530</v>
      </c>
      <c r="M350" s="1">
        <v>61373.919999999998</v>
      </c>
    </row>
    <row r="351" spans="12:13" x14ac:dyDescent="0.3">
      <c r="L351" s="5" t="s">
        <v>856</v>
      </c>
      <c r="M351" s="1">
        <v>60876.74</v>
      </c>
    </row>
    <row r="352" spans="12:13" x14ac:dyDescent="0.3">
      <c r="L352" s="5" t="s">
        <v>1557</v>
      </c>
      <c r="M352" s="1">
        <v>60867.11</v>
      </c>
    </row>
    <row r="353" spans="12:13" x14ac:dyDescent="0.3">
      <c r="L353" s="5" t="s">
        <v>1192</v>
      </c>
      <c r="M353" s="1">
        <v>60824.92</v>
      </c>
    </row>
    <row r="354" spans="12:13" x14ac:dyDescent="0.3">
      <c r="L354" s="5" t="s">
        <v>877</v>
      </c>
      <c r="M354" s="1">
        <v>60738.09</v>
      </c>
    </row>
    <row r="355" spans="12:13" x14ac:dyDescent="0.3">
      <c r="L355" s="5" t="s">
        <v>1111</v>
      </c>
      <c r="M355" s="1">
        <v>60698.8</v>
      </c>
    </row>
    <row r="356" spans="12:13" x14ac:dyDescent="0.3">
      <c r="L356" s="5" t="s">
        <v>320</v>
      </c>
      <c r="M356" s="1">
        <v>60684</v>
      </c>
    </row>
    <row r="357" spans="12:13" x14ac:dyDescent="0.3">
      <c r="L357" s="5" t="s">
        <v>502</v>
      </c>
      <c r="M357" s="1">
        <v>60265.05</v>
      </c>
    </row>
    <row r="358" spans="12:13" x14ac:dyDescent="0.3">
      <c r="L358" s="5" t="s">
        <v>415</v>
      </c>
      <c r="M358" s="1">
        <v>60098.080000000002</v>
      </c>
    </row>
    <row r="359" spans="12:13" x14ac:dyDescent="0.3">
      <c r="L359" s="5" t="s">
        <v>630</v>
      </c>
      <c r="M359" s="1">
        <v>60024.87</v>
      </c>
    </row>
    <row r="360" spans="12:13" x14ac:dyDescent="0.3">
      <c r="L360" s="5" t="s">
        <v>1593</v>
      </c>
      <c r="M360" s="1">
        <v>59997.82</v>
      </c>
    </row>
    <row r="361" spans="12:13" x14ac:dyDescent="0.3">
      <c r="L361" s="5" t="s">
        <v>1329</v>
      </c>
      <c r="M361" s="1">
        <v>59844.43</v>
      </c>
    </row>
    <row r="362" spans="12:13" x14ac:dyDescent="0.3">
      <c r="L362" s="5" t="s">
        <v>1556</v>
      </c>
      <c r="M362" s="1">
        <v>59727.87</v>
      </c>
    </row>
    <row r="363" spans="12:13" x14ac:dyDescent="0.3">
      <c r="L363" s="5" t="s">
        <v>973</v>
      </c>
      <c r="M363" s="1">
        <v>59705.21</v>
      </c>
    </row>
    <row r="364" spans="12:13" x14ac:dyDescent="0.3">
      <c r="L364" s="5" t="s">
        <v>1552</v>
      </c>
      <c r="M364" s="1">
        <v>59665.120000000003</v>
      </c>
    </row>
    <row r="365" spans="12:13" x14ac:dyDescent="0.3">
      <c r="L365" s="5" t="s">
        <v>1455</v>
      </c>
      <c r="M365" s="1">
        <v>59664.25</v>
      </c>
    </row>
    <row r="366" spans="12:13" x14ac:dyDescent="0.3">
      <c r="L366" s="5" t="s">
        <v>1434</v>
      </c>
      <c r="M366" s="1">
        <v>59272.07</v>
      </c>
    </row>
    <row r="367" spans="12:13" x14ac:dyDescent="0.3">
      <c r="L367" s="5" t="s">
        <v>898</v>
      </c>
      <c r="M367" s="1">
        <v>59261.96</v>
      </c>
    </row>
    <row r="368" spans="12:13" x14ac:dyDescent="0.3">
      <c r="L368" s="5" t="s">
        <v>1461</v>
      </c>
      <c r="M368" s="1">
        <v>59248.2</v>
      </c>
    </row>
    <row r="369" spans="12:13" x14ac:dyDescent="0.3">
      <c r="L369" s="5" t="s">
        <v>203</v>
      </c>
      <c r="M369" s="1">
        <v>59180.9</v>
      </c>
    </row>
    <row r="370" spans="12:13" x14ac:dyDescent="0.3">
      <c r="L370" s="5" t="s">
        <v>1031</v>
      </c>
      <c r="M370" s="1">
        <v>59108.91</v>
      </c>
    </row>
    <row r="371" spans="12:13" x14ac:dyDescent="0.3">
      <c r="L371" s="5" t="s">
        <v>1280</v>
      </c>
      <c r="M371" s="1">
        <v>58915.32</v>
      </c>
    </row>
    <row r="372" spans="12:13" x14ac:dyDescent="0.3">
      <c r="L372" s="5" t="s">
        <v>1393</v>
      </c>
      <c r="M372" s="1">
        <v>58812.12</v>
      </c>
    </row>
    <row r="373" spans="12:13" x14ac:dyDescent="0.3">
      <c r="L373" s="5" t="s">
        <v>426</v>
      </c>
      <c r="M373" s="1">
        <v>58791.519999999997</v>
      </c>
    </row>
    <row r="374" spans="12:13" x14ac:dyDescent="0.3">
      <c r="L374" s="5" t="s">
        <v>1412</v>
      </c>
      <c r="M374" s="1">
        <v>58751.54</v>
      </c>
    </row>
    <row r="375" spans="12:13" x14ac:dyDescent="0.3">
      <c r="L375" s="5" t="s">
        <v>376</v>
      </c>
      <c r="M375" s="1">
        <v>58749.74</v>
      </c>
    </row>
    <row r="376" spans="12:13" x14ac:dyDescent="0.3">
      <c r="L376" s="5" t="s">
        <v>1231</v>
      </c>
      <c r="M376" s="1">
        <v>58742.23</v>
      </c>
    </row>
    <row r="377" spans="12:13" x14ac:dyDescent="0.3">
      <c r="L377" s="5" t="s">
        <v>1010</v>
      </c>
      <c r="M377" s="1">
        <v>58562.09</v>
      </c>
    </row>
    <row r="378" spans="12:13" x14ac:dyDescent="0.3">
      <c r="L378" s="5" t="s">
        <v>442</v>
      </c>
      <c r="M378" s="1">
        <v>58551.57</v>
      </c>
    </row>
    <row r="379" spans="12:13" x14ac:dyDescent="0.3">
      <c r="L379" s="5" t="s">
        <v>569</v>
      </c>
      <c r="M379" s="1">
        <v>58545.65</v>
      </c>
    </row>
    <row r="380" spans="12:13" x14ac:dyDescent="0.3">
      <c r="L380" s="5" t="s">
        <v>718</v>
      </c>
      <c r="M380" s="1">
        <v>58406.28</v>
      </c>
    </row>
    <row r="381" spans="12:13" x14ac:dyDescent="0.3">
      <c r="L381" s="5" t="s">
        <v>1479</v>
      </c>
      <c r="M381" s="1">
        <v>58328.97</v>
      </c>
    </row>
    <row r="382" spans="12:13" x14ac:dyDescent="0.3">
      <c r="L382" s="5" t="s">
        <v>980</v>
      </c>
      <c r="M382" s="1">
        <v>58125.01</v>
      </c>
    </row>
    <row r="383" spans="12:13" x14ac:dyDescent="0.3">
      <c r="L383" s="5" t="s">
        <v>608</v>
      </c>
      <c r="M383" s="1">
        <v>57884.639999999999</v>
      </c>
    </row>
    <row r="384" spans="12:13" x14ac:dyDescent="0.3">
      <c r="L384" s="5" t="s">
        <v>133</v>
      </c>
      <c r="M384" s="1">
        <v>57814.98</v>
      </c>
    </row>
    <row r="385" spans="12:13" x14ac:dyDescent="0.3">
      <c r="L385" s="5" t="s">
        <v>966</v>
      </c>
      <c r="M385" s="1">
        <v>57726.76</v>
      </c>
    </row>
    <row r="386" spans="12:13" x14ac:dyDescent="0.3">
      <c r="L386" s="5" t="s">
        <v>887</v>
      </c>
      <c r="M386" s="1">
        <v>57628.82</v>
      </c>
    </row>
    <row r="387" spans="12:13" x14ac:dyDescent="0.3">
      <c r="L387" s="5" t="s">
        <v>455</v>
      </c>
      <c r="M387" s="1">
        <v>57573.27</v>
      </c>
    </row>
    <row r="388" spans="12:13" x14ac:dyDescent="0.3">
      <c r="L388" s="5" t="s">
        <v>1603</v>
      </c>
      <c r="M388" s="1">
        <v>57569.07</v>
      </c>
    </row>
    <row r="389" spans="12:13" x14ac:dyDescent="0.3">
      <c r="L389" s="5" t="s">
        <v>1418</v>
      </c>
      <c r="M389" s="1">
        <v>57566.74</v>
      </c>
    </row>
    <row r="390" spans="12:13" x14ac:dyDescent="0.3">
      <c r="L390" s="5" t="s">
        <v>1254</v>
      </c>
      <c r="M390" s="1">
        <v>57514.82</v>
      </c>
    </row>
    <row r="391" spans="12:13" x14ac:dyDescent="0.3">
      <c r="L391" s="5" t="s">
        <v>250</v>
      </c>
      <c r="M391" s="1">
        <v>57309.4</v>
      </c>
    </row>
    <row r="392" spans="12:13" x14ac:dyDescent="0.3">
      <c r="L392" s="5" t="s">
        <v>1226</v>
      </c>
      <c r="M392" s="1">
        <v>57043.34</v>
      </c>
    </row>
    <row r="393" spans="12:13" x14ac:dyDescent="0.3">
      <c r="L393" s="5" t="s">
        <v>1088</v>
      </c>
      <c r="M393" s="1">
        <v>57016.07</v>
      </c>
    </row>
    <row r="394" spans="12:13" x14ac:dyDescent="0.3">
      <c r="L394" s="5" t="s">
        <v>480</v>
      </c>
      <c r="M394" s="1">
        <v>56815.46</v>
      </c>
    </row>
    <row r="395" spans="12:13" x14ac:dyDescent="0.3">
      <c r="L395" s="5" t="s">
        <v>705</v>
      </c>
      <c r="M395" s="1">
        <v>56752.98</v>
      </c>
    </row>
    <row r="396" spans="12:13" x14ac:dyDescent="0.3">
      <c r="L396" s="5" t="s">
        <v>428</v>
      </c>
      <c r="M396" s="1">
        <v>56617.75</v>
      </c>
    </row>
    <row r="397" spans="12:13" x14ac:dyDescent="0.3">
      <c r="L397" s="5" t="s">
        <v>1579</v>
      </c>
      <c r="M397" s="1">
        <v>56611.56</v>
      </c>
    </row>
    <row r="398" spans="12:13" x14ac:dyDescent="0.3">
      <c r="L398" s="5" t="s">
        <v>801</v>
      </c>
      <c r="M398" s="1">
        <v>56592.01</v>
      </c>
    </row>
    <row r="399" spans="12:13" x14ac:dyDescent="0.3">
      <c r="L399" s="5" t="s">
        <v>1567</v>
      </c>
      <c r="M399" s="1">
        <v>56366.99</v>
      </c>
    </row>
    <row r="400" spans="12:13" x14ac:dyDescent="0.3">
      <c r="L400" s="5" t="s">
        <v>994</v>
      </c>
      <c r="M400" s="1">
        <v>56316.47</v>
      </c>
    </row>
    <row r="401" spans="12:13" x14ac:dyDescent="0.3">
      <c r="L401" s="5" t="s">
        <v>1342</v>
      </c>
      <c r="M401" s="1">
        <v>56116.9</v>
      </c>
    </row>
    <row r="402" spans="12:13" x14ac:dyDescent="0.3">
      <c r="L402" s="5" t="s">
        <v>1040</v>
      </c>
      <c r="M402" s="1">
        <v>56108.98</v>
      </c>
    </row>
    <row r="403" spans="12:13" x14ac:dyDescent="0.3">
      <c r="L403" s="5" t="s">
        <v>1503</v>
      </c>
      <c r="M403" s="1">
        <v>56054</v>
      </c>
    </row>
    <row r="404" spans="12:13" x14ac:dyDescent="0.3">
      <c r="L404" s="5" t="s">
        <v>130</v>
      </c>
      <c r="M404" s="1">
        <v>56019.4</v>
      </c>
    </row>
    <row r="405" spans="12:13" x14ac:dyDescent="0.3">
      <c r="L405" s="5" t="s">
        <v>848</v>
      </c>
      <c r="M405" s="1">
        <v>56003.22</v>
      </c>
    </row>
    <row r="406" spans="12:13" x14ac:dyDescent="0.3">
      <c r="L406" s="5" t="s">
        <v>1050</v>
      </c>
      <c r="M406" s="1">
        <v>55692.62</v>
      </c>
    </row>
    <row r="407" spans="12:13" x14ac:dyDescent="0.3">
      <c r="L407" s="5" t="s">
        <v>37</v>
      </c>
      <c r="M407" s="1">
        <v>55644.92</v>
      </c>
    </row>
    <row r="408" spans="12:13" x14ac:dyDescent="0.3">
      <c r="L408" s="5" t="s">
        <v>1060</v>
      </c>
      <c r="M408" s="1">
        <v>55621.34</v>
      </c>
    </row>
    <row r="409" spans="12:13" x14ac:dyDescent="0.3">
      <c r="L409" s="5" t="s">
        <v>291</v>
      </c>
      <c r="M409" s="1">
        <v>55490.94</v>
      </c>
    </row>
    <row r="410" spans="12:13" x14ac:dyDescent="0.3">
      <c r="L410" s="5" t="s">
        <v>403</v>
      </c>
      <c r="M410" s="1">
        <v>55016.02</v>
      </c>
    </row>
    <row r="411" spans="12:13" x14ac:dyDescent="0.3">
      <c r="L411" s="5" t="s">
        <v>185</v>
      </c>
      <c r="M411" s="1">
        <v>55012.33</v>
      </c>
    </row>
    <row r="412" spans="12:13" x14ac:dyDescent="0.3">
      <c r="L412" s="5" t="s">
        <v>797</v>
      </c>
      <c r="M412" s="1">
        <v>54976.35</v>
      </c>
    </row>
    <row r="413" spans="12:13" x14ac:dyDescent="0.3">
      <c r="L413" s="5" t="s">
        <v>1243</v>
      </c>
      <c r="M413" s="1">
        <v>54860.92</v>
      </c>
    </row>
    <row r="414" spans="12:13" x14ac:dyDescent="0.3">
      <c r="L414" s="5" t="s">
        <v>179</v>
      </c>
      <c r="M414" s="1">
        <v>54847.71</v>
      </c>
    </row>
    <row r="415" spans="12:13" x14ac:dyDescent="0.3">
      <c r="L415" s="5" t="s">
        <v>1330</v>
      </c>
      <c r="M415" s="1">
        <v>54829.51</v>
      </c>
    </row>
    <row r="416" spans="12:13" x14ac:dyDescent="0.3">
      <c r="L416" s="5" t="s">
        <v>81</v>
      </c>
      <c r="M416" s="1">
        <v>54736.6</v>
      </c>
    </row>
    <row r="417" spans="12:13" x14ac:dyDescent="0.3">
      <c r="L417" s="5" t="s">
        <v>1535</v>
      </c>
      <c r="M417" s="1">
        <v>54701.06</v>
      </c>
    </row>
    <row r="418" spans="12:13" x14ac:dyDescent="0.3">
      <c r="L418" s="5" t="s">
        <v>871</v>
      </c>
      <c r="M418" s="1">
        <v>54616.480000000003</v>
      </c>
    </row>
    <row r="419" spans="12:13" x14ac:dyDescent="0.3">
      <c r="L419" s="5" t="s">
        <v>771</v>
      </c>
      <c r="M419" s="1">
        <v>54592.65</v>
      </c>
    </row>
    <row r="420" spans="12:13" x14ac:dyDescent="0.3">
      <c r="L420" s="5" t="s">
        <v>786</v>
      </c>
      <c r="M420" s="1">
        <v>54511.35</v>
      </c>
    </row>
    <row r="421" spans="12:13" x14ac:dyDescent="0.3">
      <c r="L421" s="5" t="s">
        <v>1143</v>
      </c>
      <c r="M421" s="1">
        <v>54479.86</v>
      </c>
    </row>
    <row r="422" spans="12:13" x14ac:dyDescent="0.3">
      <c r="L422" s="5" t="s">
        <v>1514</v>
      </c>
      <c r="M422" s="1">
        <v>54400.49</v>
      </c>
    </row>
    <row r="423" spans="12:13" x14ac:dyDescent="0.3">
      <c r="L423" s="5" t="s">
        <v>806</v>
      </c>
      <c r="M423" s="1">
        <v>54320.25</v>
      </c>
    </row>
    <row r="424" spans="12:13" x14ac:dyDescent="0.3">
      <c r="L424" s="5" t="s">
        <v>1396</v>
      </c>
      <c r="M424" s="1">
        <v>54301.41</v>
      </c>
    </row>
    <row r="425" spans="12:13" x14ac:dyDescent="0.3">
      <c r="L425" s="5" t="s">
        <v>1607</v>
      </c>
      <c r="M425" s="1">
        <v>54016.11</v>
      </c>
    </row>
    <row r="426" spans="12:13" x14ac:dyDescent="0.3">
      <c r="L426" s="5" t="s">
        <v>1377</v>
      </c>
      <c r="M426" s="1">
        <v>54007.87</v>
      </c>
    </row>
    <row r="427" spans="12:13" x14ac:dyDescent="0.3">
      <c r="L427" s="5" t="s">
        <v>258</v>
      </c>
      <c r="M427" s="1">
        <v>53879.37</v>
      </c>
    </row>
    <row r="428" spans="12:13" x14ac:dyDescent="0.3">
      <c r="L428" s="5" t="s">
        <v>1471</v>
      </c>
      <c r="M428" s="1">
        <v>53860.56</v>
      </c>
    </row>
    <row r="429" spans="12:13" x14ac:dyDescent="0.3">
      <c r="L429" s="5" t="s">
        <v>869</v>
      </c>
      <c r="M429" s="1">
        <v>53645.36</v>
      </c>
    </row>
    <row r="430" spans="12:13" x14ac:dyDescent="0.3">
      <c r="L430" s="5" t="s">
        <v>1486</v>
      </c>
      <c r="M430" s="1">
        <v>53455.92</v>
      </c>
    </row>
    <row r="431" spans="12:13" x14ac:dyDescent="0.3">
      <c r="L431" s="5" t="s">
        <v>781</v>
      </c>
      <c r="M431" s="1">
        <v>53443.19</v>
      </c>
    </row>
    <row r="432" spans="12:13" x14ac:dyDescent="0.3">
      <c r="L432" s="5" t="s">
        <v>620</v>
      </c>
      <c r="M432" s="1">
        <v>53389.08</v>
      </c>
    </row>
    <row r="433" spans="12:13" x14ac:dyDescent="0.3">
      <c r="L433" s="5" t="s">
        <v>209</v>
      </c>
      <c r="M433" s="1">
        <v>53366.48</v>
      </c>
    </row>
    <row r="434" spans="12:13" x14ac:dyDescent="0.3">
      <c r="L434" s="5" t="s">
        <v>1322</v>
      </c>
      <c r="M434" s="1">
        <v>53350.64</v>
      </c>
    </row>
    <row r="435" spans="12:13" x14ac:dyDescent="0.3">
      <c r="L435" s="5" t="s">
        <v>1482</v>
      </c>
      <c r="M435" s="1">
        <v>53273.42</v>
      </c>
    </row>
    <row r="436" spans="12:13" x14ac:dyDescent="0.3">
      <c r="L436" s="5" t="s">
        <v>560</v>
      </c>
      <c r="M436" s="1">
        <v>53254.09</v>
      </c>
    </row>
    <row r="437" spans="12:13" x14ac:dyDescent="0.3">
      <c r="L437" s="5" t="s">
        <v>1066</v>
      </c>
      <c r="M437" s="1">
        <v>53227.59</v>
      </c>
    </row>
    <row r="438" spans="12:13" x14ac:dyDescent="0.3">
      <c r="L438" s="5" t="s">
        <v>1269</v>
      </c>
      <c r="M438" s="1">
        <v>53128.29</v>
      </c>
    </row>
    <row r="439" spans="12:13" x14ac:dyDescent="0.3">
      <c r="L439" s="5" t="s">
        <v>582</v>
      </c>
      <c r="M439" s="1">
        <v>52868.7</v>
      </c>
    </row>
    <row r="440" spans="12:13" x14ac:dyDescent="0.3">
      <c r="L440" s="5" t="s">
        <v>141</v>
      </c>
      <c r="M440" s="1">
        <v>52720.9</v>
      </c>
    </row>
    <row r="441" spans="12:13" x14ac:dyDescent="0.3">
      <c r="L441" s="5" t="s">
        <v>1268</v>
      </c>
      <c r="M441" s="1">
        <v>52498</v>
      </c>
    </row>
    <row r="442" spans="12:13" x14ac:dyDescent="0.3">
      <c r="L442" s="5" t="s">
        <v>1261</v>
      </c>
      <c r="M442" s="1">
        <v>52411.39</v>
      </c>
    </row>
    <row r="443" spans="12:13" x14ac:dyDescent="0.3">
      <c r="L443" s="5" t="s">
        <v>1538</v>
      </c>
      <c r="M443" s="1">
        <v>52351.53</v>
      </c>
    </row>
    <row r="444" spans="12:13" x14ac:dyDescent="0.3">
      <c r="L444" s="5" t="s">
        <v>1431</v>
      </c>
      <c r="M444" s="1">
        <v>52203.49</v>
      </c>
    </row>
    <row r="445" spans="12:13" x14ac:dyDescent="0.3">
      <c r="L445" s="5" t="s">
        <v>693</v>
      </c>
      <c r="M445" s="1">
        <v>52097.67</v>
      </c>
    </row>
    <row r="446" spans="12:13" x14ac:dyDescent="0.3">
      <c r="L446" s="5" t="s">
        <v>114</v>
      </c>
      <c r="M446" s="1">
        <v>52002.39</v>
      </c>
    </row>
    <row r="447" spans="12:13" x14ac:dyDescent="0.3">
      <c r="L447" s="5" t="s">
        <v>1406</v>
      </c>
      <c r="M447" s="1">
        <v>51804.63</v>
      </c>
    </row>
    <row r="448" spans="12:13" x14ac:dyDescent="0.3">
      <c r="L448" s="5" t="s">
        <v>288</v>
      </c>
      <c r="M448" s="1">
        <v>51495.03</v>
      </c>
    </row>
    <row r="449" spans="12:13" x14ac:dyDescent="0.3">
      <c r="L449" s="5" t="s">
        <v>1594</v>
      </c>
      <c r="M449" s="1">
        <v>51359.79</v>
      </c>
    </row>
    <row r="450" spans="12:13" x14ac:dyDescent="0.3">
      <c r="L450" s="5" t="s">
        <v>867</v>
      </c>
      <c r="M450" s="1">
        <v>51301.38</v>
      </c>
    </row>
    <row r="451" spans="12:13" x14ac:dyDescent="0.3">
      <c r="L451" s="5" t="s">
        <v>936</v>
      </c>
      <c r="M451" s="1">
        <v>51297.27</v>
      </c>
    </row>
    <row r="452" spans="12:13" x14ac:dyDescent="0.3">
      <c r="L452" s="5" t="s">
        <v>230</v>
      </c>
      <c r="M452" s="1">
        <v>51284.66</v>
      </c>
    </row>
    <row r="453" spans="12:13" x14ac:dyDescent="0.3">
      <c r="L453" s="5" t="s">
        <v>1526</v>
      </c>
      <c r="M453" s="1">
        <v>51102.98</v>
      </c>
    </row>
    <row r="454" spans="12:13" x14ac:dyDescent="0.3">
      <c r="L454" s="5" t="s">
        <v>1144</v>
      </c>
      <c r="M454" s="1">
        <v>51069.79</v>
      </c>
    </row>
    <row r="455" spans="12:13" x14ac:dyDescent="0.3">
      <c r="L455" s="5" t="s">
        <v>1558</v>
      </c>
      <c r="M455" s="1">
        <v>51052.22</v>
      </c>
    </row>
    <row r="456" spans="12:13" x14ac:dyDescent="0.3">
      <c r="L456" s="5" t="s">
        <v>874</v>
      </c>
      <c r="M456" s="1">
        <v>51024.81</v>
      </c>
    </row>
    <row r="457" spans="12:13" x14ac:dyDescent="0.3">
      <c r="L457" s="5" t="s">
        <v>1026</v>
      </c>
      <c r="M457" s="1">
        <v>50811.87</v>
      </c>
    </row>
    <row r="458" spans="12:13" x14ac:dyDescent="0.3">
      <c r="L458" s="5" t="s">
        <v>691</v>
      </c>
      <c r="M458" s="1">
        <v>50785.72</v>
      </c>
    </row>
    <row r="459" spans="12:13" x14ac:dyDescent="0.3">
      <c r="L459" s="5" t="s">
        <v>1296</v>
      </c>
      <c r="M459" s="1">
        <v>50745.54</v>
      </c>
    </row>
    <row r="460" spans="12:13" x14ac:dyDescent="0.3">
      <c r="L460" s="5" t="s">
        <v>282</v>
      </c>
      <c r="M460" s="1">
        <v>50608.27</v>
      </c>
    </row>
    <row r="461" spans="12:13" x14ac:dyDescent="0.3">
      <c r="L461" s="5" t="s">
        <v>1540</v>
      </c>
      <c r="M461" s="1">
        <v>50543.03</v>
      </c>
    </row>
    <row r="462" spans="12:13" x14ac:dyDescent="0.3">
      <c r="L462" s="5" t="s">
        <v>1081</v>
      </c>
      <c r="M462" s="1">
        <v>50483.12</v>
      </c>
    </row>
    <row r="463" spans="12:13" x14ac:dyDescent="0.3">
      <c r="L463" s="5" t="s">
        <v>1080</v>
      </c>
      <c r="M463" s="1">
        <v>50453.62</v>
      </c>
    </row>
    <row r="464" spans="12:13" x14ac:dyDescent="0.3">
      <c r="L464" s="5" t="s">
        <v>1014</v>
      </c>
      <c r="M464" s="1">
        <v>50407.66</v>
      </c>
    </row>
    <row r="465" spans="12:13" x14ac:dyDescent="0.3">
      <c r="L465" s="5" t="s">
        <v>1415</v>
      </c>
      <c r="M465" s="1">
        <v>50166.1</v>
      </c>
    </row>
    <row r="466" spans="12:13" x14ac:dyDescent="0.3">
      <c r="L466" s="5" t="s">
        <v>916</v>
      </c>
      <c r="M466" s="1">
        <v>50120.03</v>
      </c>
    </row>
    <row r="467" spans="12:13" x14ac:dyDescent="0.3">
      <c r="L467" s="5" t="s">
        <v>1000</v>
      </c>
      <c r="M467" s="1">
        <v>50049.11</v>
      </c>
    </row>
    <row r="468" spans="12:13" x14ac:dyDescent="0.3">
      <c r="L468" s="5" t="s">
        <v>1255</v>
      </c>
      <c r="M468" s="1">
        <v>50029.47</v>
      </c>
    </row>
    <row r="469" spans="12:13" x14ac:dyDescent="0.3">
      <c r="L469" s="5" t="s">
        <v>695</v>
      </c>
      <c r="M469" s="1">
        <v>50017.04</v>
      </c>
    </row>
    <row r="470" spans="12:13" x14ac:dyDescent="0.3">
      <c r="L470" s="5" t="s">
        <v>1376</v>
      </c>
      <c r="M470" s="1">
        <v>49777.86</v>
      </c>
    </row>
    <row r="471" spans="12:13" x14ac:dyDescent="0.3">
      <c r="L471" s="5" t="s">
        <v>1109</v>
      </c>
      <c r="M471" s="1">
        <v>49661.63</v>
      </c>
    </row>
    <row r="472" spans="12:13" x14ac:dyDescent="0.3">
      <c r="L472" s="5" t="s">
        <v>817</v>
      </c>
      <c r="M472" s="1">
        <v>49508.56</v>
      </c>
    </row>
    <row r="473" spans="12:13" x14ac:dyDescent="0.3">
      <c r="L473" s="5" t="s">
        <v>1364</v>
      </c>
      <c r="M473" s="1">
        <v>49384.7</v>
      </c>
    </row>
    <row r="474" spans="12:13" x14ac:dyDescent="0.3">
      <c r="L474" s="5" t="s">
        <v>150</v>
      </c>
      <c r="M474" s="1">
        <v>49358.670000000006</v>
      </c>
    </row>
    <row r="475" spans="12:13" x14ac:dyDescent="0.3">
      <c r="L475" s="5" t="s">
        <v>390</v>
      </c>
      <c r="M475" s="1">
        <v>49302.1</v>
      </c>
    </row>
    <row r="476" spans="12:13" x14ac:dyDescent="0.3">
      <c r="L476" s="5" t="s">
        <v>1445</v>
      </c>
      <c r="M476" s="1">
        <v>49277.97</v>
      </c>
    </row>
    <row r="477" spans="12:13" x14ac:dyDescent="0.3">
      <c r="L477" s="5" t="s">
        <v>1017</v>
      </c>
      <c r="M477" s="1">
        <v>49262.79</v>
      </c>
    </row>
    <row r="478" spans="12:13" x14ac:dyDescent="0.3">
      <c r="L478" s="5" t="s">
        <v>836</v>
      </c>
      <c r="M478" s="1">
        <v>49247.81</v>
      </c>
    </row>
    <row r="479" spans="12:13" x14ac:dyDescent="0.3">
      <c r="L479" s="5" t="s">
        <v>1383</v>
      </c>
      <c r="M479" s="1">
        <v>49245.04</v>
      </c>
    </row>
    <row r="480" spans="12:13" x14ac:dyDescent="0.3">
      <c r="L480" s="5" t="s">
        <v>843</v>
      </c>
      <c r="M480" s="1">
        <v>49188.01</v>
      </c>
    </row>
    <row r="481" spans="12:13" x14ac:dyDescent="0.3">
      <c r="L481" s="5" t="s">
        <v>893</v>
      </c>
      <c r="M481" s="1">
        <v>49175.26</v>
      </c>
    </row>
    <row r="482" spans="12:13" x14ac:dyDescent="0.3">
      <c r="L482" s="5" t="s">
        <v>73</v>
      </c>
      <c r="M482" s="1">
        <v>49173.79</v>
      </c>
    </row>
    <row r="483" spans="12:13" x14ac:dyDescent="0.3">
      <c r="L483" s="5" t="s">
        <v>738</v>
      </c>
      <c r="M483" s="1">
        <v>49111.81</v>
      </c>
    </row>
    <row r="484" spans="12:13" x14ac:dyDescent="0.3">
      <c r="L484" s="5" t="s">
        <v>478</v>
      </c>
      <c r="M484" s="1">
        <v>49068.51</v>
      </c>
    </row>
    <row r="485" spans="12:13" x14ac:dyDescent="0.3">
      <c r="L485" s="5" t="s">
        <v>865</v>
      </c>
      <c r="M485" s="1">
        <v>49039.53</v>
      </c>
    </row>
    <row r="486" spans="12:13" x14ac:dyDescent="0.3">
      <c r="L486" s="5" t="s">
        <v>1029</v>
      </c>
      <c r="M486" s="1">
        <v>48991.08</v>
      </c>
    </row>
    <row r="487" spans="12:13" x14ac:dyDescent="0.3">
      <c r="L487" s="5" t="s">
        <v>1183</v>
      </c>
      <c r="M487" s="1">
        <v>48823.66</v>
      </c>
    </row>
    <row r="488" spans="12:13" x14ac:dyDescent="0.3">
      <c r="L488" s="5" t="s">
        <v>152</v>
      </c>
      <c r="M488" s="1">
        <v>48771.57</v>
      </c>
    </row>
    <row r="489" spans="12:13" x14ac:dyDescent="0.3">
      <c r="L489" s="5" t="s">
        <v>1494</v>
      </c>
      <c r="M489" s="1">
        <v>48615.23</v>
      </c>
    </row>
    <row r="490" spans="12:13" x14ac:dyDescent="0.3">
      <c r="L490" s="5" t="s">
        <v>372</v>
      </c>
      <c r="M490" s="1">
        <v>48481.78</v>
      </c>
    </row>
    <row r="491" spans="12:13" x14ac:dyDescent="0.3">
      <c r="L491" s="5" t="s">
        <v>1498</v>
      </c>
      <c r="M491" s="1">
        <v>48378.05</v>
      </c>
    </row>
    <row r="492" spans="12:13" x14ac:dyDescent="0.3">
      <c r="L492" s="5" t="s">
        <v>505</v>
      </c>
      <c r="M492" s="1">
        <v>48374.29</v>
      </c>
    </row>
    <row r="493" spans="12:13" x14ac:dyDescent="0.3">
      <c r="L493" s="5" t="s">
        <v>1292</v>
      </c>
      <c r="M493" s="1">
        <v>48271.89</v>
      </c>
    </row>
    <row r="494" spans="12:13" x14ac:dyDescent="0.3">
      <c r="L494" s="5" t="s">
        <v>587</v>
      </c>
      <c r="M494" s="1">
        <v>48226.83</v>
      </c>
    </row>
    <row r="495" spans="12:13" x14ac:dyDescent="0.3">
      <c r="L495" s="5" t="s">
        <v>487</v>
      </c>
      <c r="M495" s="1">
        <v>48052.2</v>
      </c>
    </row>
    <row r="496" spans="12:13" x14ac:dyDescent="0.3">
      <c r="L496" s="5" t="s">
        <v>285</v>
      </c>
      <c r="M496" s="1">
        <v>47993.07</v>
      </c>
    </row>
    <row r="497" spans="12:13" x14ac:dyDescent="0.3">
      <c r="L497" s="5" t="s">
        <v>815</v>
      </c>
      <c r="M497" s="1">
        <v>47966.23</v>
      </c>
    </row>
    <row r="498" spans="12:13" x14ac:dyDescent="0.3">
      <c r="L498" s="5" t="s">
        <v>339</v>
      </c>
      <c r="M498" s="1">
        <v>47929.37</v>
      </c>
    </row>
    <row r="499" spans="12:13" x14ac:dyDescent="0.3">
      <c r="L499" s="5" t="s">
        <v>482</v>
      </c>
      <c r="M499" s="1">
        <v>47858.58</v>
      </c>
    </row>
    <row r="500" spans="12:13" x14ac:dyDescent="0.3">
      <c r="L500" s="5" t="s">
        <v>228</v>
      </c>
      <c r="M500" s="1">
        <v>47791.48</v>
      </c>
    </row>
    <row r="501" spans="12:13" x14ac:dyDescent="0.3">
      <c r="L501" s="5" t="s">
        <v>499</v>
      </c>
      <c r="M501" s="1">
        <v>47741.8</v>
      </c>
    </row>
    <row r="502" spans="12:13" x14ac:dyDescent="0.3">
      <c r="L502" s="5" t="s">
        <v>1419</v>
      </c>
      <c r="M502" s="1">
        <v>47737.94</v>
      </c>
    </row>
    <row r="503" spans="12:13" x14ac:dyDescent="0.3">
      <c r="L503" s="5" t="s">
        <v>1369</v>
      </c>
      <c r="M503" s="1">
        <v>47683.13</v>
      </c>
    </row>
    <row r="504" spans="12:13" x14ac:dyDescent="0.3">
      <c r="L504" s="5" t="s">
        <v>411</v>
      </c>
      <c r="M504" s="1">
        <v>47507.7</v>
      </c>
    </row>
    <row r="505" spans="12:13" x14ac:dyDescent="0.3">
      <c r="L505" s="5" t="s">
        <v>810</v>
      </c>
      <c r="M505" s="1">
        <v>47368.67</v>
      </c>
    </row>
    <row r="506" spans="12:13" x14ac:dyDescent="0.3">
      <c r="L506" s="5" t="s">
        <v>1456</v>
      </c>
      <c r="M506" s="1">
        <v>46987.27</v>
      </c>
    </row>
    <row r="507" spans="12:13" x14ac:dyDescent="0.3">
      <c r="L507" s="5" t="s">
        <v>1076</v>
      </c>
      <c r="M507" s="1">
        <v>46967.26</v>
      </c>
    </row>
    <row r="508" spans="12:13" x14ac:dyDescent="0.3">
      <c r="L508" s="5" t="s">
        <v>1107</v>
      </c>
      <c r="M508" s="1">
        <v>46819.07</v>
      </c>
    </row>
    <row r="509" spans="12:13" x14ac:dyDescent="0.3">
      <c r="L509" s="5" t="s">
        <v>1373</v>
      </c>
      <c r="M509" s="1">
        <v>46717.99</v>
      </c>
    </row>
    <row r="510" spans="12:13" x14ac:dyDescent="0.3">
      <c r="L510" s="5" t="s">
        <v>1597</v>
      </c>
      <c r="M510" s="1">
        <v>46361.81</v>
      </c>
    </row>
    <row r="511" spans="12:13" x14ac:dyDescent="0.3">
      <c r="L511" s="5" t="s">
        <v>174</v>
      </c>
      <c r="M511" s="1">
        <v>46302.49</v>
      </c>
    </row>
    <row r="512" spans="12:13" x14ac:dyDescent="0.3">
      <c r="L512" s="5" t="s">
        <v>745</v>
      </c>
      <c r="M512" s="1">
        <v>46274.61</v>
      </c>
    </row>
    <row r="513" spans="12:13" x14ac:dyDescent="0.3">
      <c r="L513" s="5" t="s">
        <v>825</v>
      </c>
      <c r="M513" s="1">
        <v>46213.810000000005</v>
      </c>
    </row>
    <row r="514" spans="12:13" x14ac:dyDescent="0.3">
      <c r="L514" s="5" t="s">
        <v>923</v>
      </c>
      <c r="M514" s="1">
        <v>46005.43</v>
      </c>
    </row>
    <row r="515" spans="12:13" x14ac:dyDescent="0.3">
      <c r="L515" s="5" t="s">
        <v>300</v>
      </c>
      <c r="M515" s="1">
        <v>45758.18</v>
      </c>
    </row>
    <row r="516" spans="12:13" x14ac:dyDescent="0.3">
      <c r="L516" s="5" t="s">
        <v>1193</v>
      </c>
      <c r="M516" s="1">
        <v>45698.76</v>
      </c>
    </row>
    <row r="517" spans="12:13" x14ac:dyDescent="0.3">
      <c r="L517" s="5" t="s">
        <v>1288</v>
      </c>
      <c r="M517" s="1">
        <v>45476.28</v>
      </c>
    </row>
    <row r="518" spans="12:13" x14ac:dyDescent="0.3">
      <c r="L518" s="5" t="s">
        <v>713</v>
      </c>
      <c r="M518" s="1">
        <v>45434.53</v>
      </c>
    </row>
    <row r="519" spans="12:13" x14ac:dyDescent="0.3">
      <c r="L519" s="5" t="s">
        <v>1086</v>
      </c>
      <c r="M519" s="1">
        <v>45376.61</v>
      </c>
    </row>
    <row r="520" spans="12:13" x14ac:dyDescent="0.3">
      <c r="L520" s="5" t="s">
        <v>1239</v>
      </c>
      <c r="M520" s="1">
        <v>45133.55</v>
      </c>
    </row>
    <row r="521" spans="12:13" x14ac:dyDescent="0.3">
      <c r="L521" s="5" t="s">
        <v>790</v>
      </c>
      <c r="M521" s="1">
        <v>45101.03</v>
      </c>
    </row>
    <row r="522" spans="12:13" x14ac:dyDescent="0.3">
      <c r="L522" s="5" t="s">
        <v>315</v>
      </c>
      <c r="M522" s="1">
        <v>45068.72</v>
      </c>
    </row>
    <row r="523" spans="12:13" x14ac:dyDescent="0.3">
      <c r="L523" s="5" t="s">
        <v>1152</v>
      </c>
      <c r="M523" s="1">
        <v>44972.26</v>
      </c>
    </row>
    <row r="524" spans="12:13" x14ac:dyDescent="0.3">
      <c r="L524" s="5" t="s">
        <v>1546</v>
      </c>
      <c r="M524" s="1">
        <v>44959.76</v>
      </c>
    </row>
    <row r="525" spans="12:13" x14ac:dyDescent="0.3">
      <c r="L525" s="5" t="s">
        <v>1405</v>
      </c>
      <c r="M525" s="1">
        <v>44591.1</v>
      </c>
    </row>
    <row r="526" spans="12:13" x14ac:dyDescent="0.3">
      <c r="L526" s="5" t="s">
        <v>1407</v>
      </c>
      <c r="M526" s="1">
        <v>44344.29</v>
      </c>
    </row>
    <row r="527" spans="12:13" x14ac:dyDescent="0.3">
      <c r="L527" s="5" t="s">
        <v>1432</v>
      </c>
      <c r="M527" s="1">
        <v>44150.41</v>
      </c>
    </row>
    <row r="528" spans="12:13" x14ac:dyDescent="0.3">
      <c r="L528" s="5" t="s">
        <v>1063</v>
      </c>
      <c r="M528" s="1">
        <v>44150.31</v>
      </c>
    </row>
    <row r="529" spans="12:13" x14ac:dyDescent="0.3">
      <c r="L529" s="5" t="s">
        <v>967</v>
      </c>
      <c r="M529" s="1">
        <v>44084.04</v>
      </c>
    </row>
    <row r="530" spans="12:13" x14ac:dyDescent="0.3">
      <c r="L530" s="5" t="s">
        <v>906</v>
      </c>
      <c r="M530" s="1">
        <v>44075.14</v>
      </c>
    </row>
    <row r="531" spans="12:13" x14ac:dyDescent="0.3">
      <c r="L531" s="5" t="s">
        <v>736</v>
      </c>
      <c r="M531" s="1">
        <v>44068.47</v>
      </c>
    </row>
    <row r="532" spans="12:13" x14ac:dyDescent="0.3">
      <c r="L532" s="5" t="s">
        <v>255</v>
      </c>
      <c r="M532" s="1">
        <v>43967.39</v>
      </c>
    </row>
    <row r="533" spans="12:13" x14ac:dyDescent="0.3">
      <c r="L533" s="5" t="s">
        <v>567</v>
      </c>
      <c r="M533" s="1">
        <v>43742.16</v>
      </c>
    </row>
    <row r="534" spans="12:13" x14ac:dyDescent="0.3">
      <c r="L534" s="5" t="s">
        <v>213</v>
      </c>
      <c r="M534" s="1">
        <v>43714.06</v>
      </c>
    </row>
    <row r="535" spans="12:13" x14ac:dyDescent="0.3">
      <c r="L535" s="5" t="s">
        <v>596</v>
      </c>
      <c r="M535" s="1">
        <v>43688.800000000003</v>
      </c>
    </row>
    <row r="536" spans="12:13" x14ac:dyDescent="0.3">
      <c r="L536" s="5" t="s">
        <v>976</v>
      </c>
      <c r="M536" s="1">
        <v>43521.22</v>
      </c>
    </row>
    <row r="537" spans="12:13" x14ac:dyDescent="0.3">
      <c r="L537" s="5" t="s">
        <v>1466</v>
      </c>
      <c r="M537" s="1">
        <v>43490.21</v>
      </c>
    </row>
    <row r="538" spans="12:13" x14ac:dyDescent="0.3">
      <c r="L538" s="5" t="s">
        <v>953</v>
      </c>
      <c r="M538" s="1">
        <v>43473.24</v>
      </c>
    </row>
    <row r="539" spans="12:13" x14ac:dyDescent="0.3">
      <c r="L539" s="5" t="s">
        <v>1356</v>
      </c>
      <c r="M539" s="1">
        <v>43310.6</v>
      </c>
    </row>
    <row r="540" spans="12:13" x14ac:dyDescent="0.3">
      <c r="L540" s="5" t="s">
        <v>894</v>
      </c>
      <c r="M540" s="1">
        <v>43164.88</v>
      </c>
    </row>
    <row r="541" spans="12:13" x14ac:dyDescent="0.3">
      <c r="L541" s="5" t="s">
        <v>850</v>
      </c>
      <c r="M541" s="1">
        <v>43154.65</v>
      </c>
    </row>
    <row r="542" spans="12:13" x14ac:dyDescent="0.3">
      <c r="L542" s="5" t="s">
        <v>1344</v>
      </c>
      <c r="M542" s="1">
        <v>43067.78</v>
      </c>
    </row>
    <row r="543" spans="12:13" x14ac:dyDescent="0.3">
      <c r="L543" s="5" t="s">
        <v>1416</v>
      </c>
      <c r="M543" s="1">
        <v>42721.98</v>
      </c>
    </row>
    <row r="544" spans="12:13" x14ac:dyDescent="0.3">
      <c r="L544" s="5" t="s">
        <v>813</v>
      </c>
      <c r="M544" s="1">
        <v>42576.76</v>
      </c>
    </row>
    <row r="545" spans="12:13" x14ac:dyDescent="0.3">
      <c r="L545" s="5" t="s">
        <v>296</v>
      </c>
      <c r="M545" s="1">
        <v>42567.32</v>
      </c>
    </row>
    <row r="546" spans="12:13" x14ac:dyDescent="0.3">
      <c r="L546" s="5" t="s">
        <v>1120</v>
      </c>
      <c r="M546" s="1">
        <v>42566.5</v>
      </c>
    </row>
    <row r="547" spans="12:13" x14ac:dyDescent="0.3">
      <c r="L547" s="5" t="s">
        <v>1604</v>
      </c>
      <c r="M547" s="1">
        <v>42248.959999999999</v>
      </c>
    </row>
    <row r="548" spans="12:13" x14ac:dyDescent="0.3">
      <c r="L548" s="5" t="s">
        <v>1126</v>
      </c>
      <c r="M548" s="1">
        <v>42155.02</v>
      </c>
    </row>
    <row r="549" spans="12:13" x14ac:dyDescent="0.3">
      <c r="L549" s="5" t="s">
        <v>119</v>
      </c>
      <c r="M549" s="1">
        <v>42064.23</v>
      </c>
    </row>
    <row r="550" spans="12:13" x14ac:dyDescent="0.3">
      <c r="L550" s="5" t="s">
        <v>842</v>
      </c>
      <c r="M550" s="1">
        <v>42046.6</v>
      </c>
    </row>
    <row r="551" spans="12:13" x14ac:dyDescent="0.3">
      <c r="L551" s="5" t="s">
        <v>1228</v>
      </c>
      <c r="M551" s="1">
        <v>42011.7</v>
      </c>
    </row>
    <row r="552" spans="12:13" x14ac:dyDescent="0.3">
      <c r="L552" s="5" t="s">
        <v>1477</v>
      </c>
      <c r="M552" s="1">
        <v>41908.07</v>
      </c>
    </row>
    <row r="553" spans="12:13" x14ac:dyDescent="0.3">
      <c r="L553" s="5" t="s">
        <v>1343</v>
      </c>
      <c r="M553" s="1">
        <v>41832.339999999997</v>
      </c>
    </row>
    <row r="554" spans="12:13" x14ac:dyDescent="0.3">
      <c r="L554" s="5" t="s">
        <v>999</v>
      </c>
      <c r="M554" s="1">
        <v>41813.67</v>
      </c>
    </row>
    <row r="555" spans="12:13" x14ac:dyDescent="0.3">
      <c r="L555" s="5" t="s">
        <v>1541</v>
      </c>
      <c r="M555" s="1">
        <v>41747.83</v>
      </c>
    </row>
    <row r="556" spans="12:13" x14ac:dyDescent="0.3">
      <c r="L556" s="5" t="s">
        <v>601</v>
      </c>
      <c r="M556" s="1">
        <v>41744.97</v>
      </c>
    </row>
    <row r="557" spans="12:13" x14ac:dyDescent="0.3">
      <c r="L557" s="5" t="s">
        <v>1554</v>
      </c>
      <c r="M557" s="1">
        <v>41687.980000000003</v>
      </c>
    </row>
    <row r="558" spans="12:13" x14ac:dyDescent="0.3">
      <c r="L558" s="5" t="s">
        <v>336</v>
      </c>
      <c r="M558" s="1">
        <v>41655.550000000003</v>
      </c>
    </row>
    <row r="559" spans="12:13" x14ac:dyDescent="0.3">
      <c r="L559" s="5" t="s">
        <v>1225</v>
      </c>
      <c r="M559" s="1">
        <v>41645.79</v>
      </c>
    </row>
    <row r="560" spans="12:13" x14ac:dyDescent="0.3">
      <c r="L560" s="5" t="s">
        <v>760</v>
      </c>
      <c r="M560" s="1">
        <v>41597.22</v>
      </c>
    </row>
    <row r="561" spans="12:13" x14ac:dyDescent="0.3">
      <c r="L561" s="5" t="s">
        <v>1098</v>
      </c>
      <c r="M561" s="1">
        <v>41463.79</v>
      </c>
    </row>
    <row r="562" spans="12:13" x14ac:dyDescent="0.3">
      <c r="L562" s="5" t="s">
        <v>1127</v>
      </c>
      <c r="M562" s="1">
        <v>41440.379999999997</v>
      </c>
    </row>
    <row r="563" spans="12:13" x14ac:dyDescent="0.3">
      <c r="L563" s="5" t="s">
        <v>1516</v>
      </c>
      <c r="M563" s="1">
        <v>41380.910000000003</v>
      </c>
    </row>
    <row r="564" spans="12:13" x14ac:dyDescent="0.3">
      <c r="L564" s="5" t="s">
        <v>991</v>
      </c>
      <c r="M564" s="1">
        <v>41294.39</v>
      </c>
    </row>
    <row r="565" spans="12:13" x14ac:dyDescent="0.3">
      <c r="L565" s="5" t="s">
        <v>1457</v>
      </c>
      <c r="M565" s="1">
        <v>41255.46</v>
      </c>
    </row>
    <row r="566" spans="12:13" x14ac:dyDescent="0.3">
      <c r="L566" s="5" t="s">
        <v>1384</v>
      </c>
      <c r="M566" s="1">
        <v>41094.69</v>
      </c>
    </row>
    <row r="567" spans="12:13" x14ac:dyDescent="0.3">
      <c r="L567" s="5" t="s">
        <v>724</v>
      </c>
      <c r="M567" s="1">
        <v>41089.370000000003</v>
      </c>
    </row>
    <row r="568" spans="12:13" x14ac:dyDescent="0.3">
      <c r="L568" s="5" t="s">
        <v>935</v>
      </c>
      <c r="M568" s="1">
        <v>41073.61</v>
      </c>
    </row>
    <row r="569" spans="12:13" x14ac:dyDescent="0.3">
      <c r="L569" s="5" t="s">
        <v>182</v>
      </c>
      <c r="M569" s="1">
        <v>41072.58</v>
      </c>
    </row>
    <row r="570" spans="12:13" x14ac:dyDescent="0.3">
      <c r="L570" s="5" t="s">
        <v>612</v>
      </c>
      <c r="M570" s="1">
        <v>41057.980000000003</v>
      </c>
    </row>
    <row r="571" spans="12:13" x14ac:dyDescent="0.3">
      <c r="L571" s="5" t="s">
        <v>944</v>
      </c>
      <c r="M571" s="1">
        <v>41041.519999999997</v>
      </c>
    </row>
    <row r="572" spans="12:13" x14ac:dyDescent="0.3">
      <c r="L572" s="5" t="s">
        <v>1237</v>
      </c>
      <c r="M572" s="1">
        <v>40944.589999999997</v>
      </c>
    </row>
    <row r="573" spans="12:13" x14ac:dyDescent="0.3">
      <c r="L573" s="5" t="s">
        <v>886</v>
      </c>
      <c r="M573" s="1">
        <v>40698.86</v>
      </c>
    </row>
    <row r="574" spans="12:13" x14ac:dyDescent="0.3">
      <c r="L574" s="5" t="s">
        <v>1067</v>
      </c>
      <c r="M574" s="1">
        <v>40665.550000000003</v>
      </c>
    </row>
    <row r="575" spans="12:13" x14ac:dyDescent="0.3">
      <c r="L575" s="5" t="s">
        <v>1108</v>
      </c>
      <c r="M575" s="1">
        <v>40625.839999999997</v>
      </c>
    </row>
    <row r="576" spans="12:13" x14ac:dyDescent="0.3">
      <c r="L576" s="5" t="s">
        <v>242</v>
      </c>
      <c r="M576" s="1">
        <v>40561.040000000001</v>
      </c>
    </row>
    <row r="577" spans="12:13" x14ac:dyDescent="0.3">
      <c r="L577" s="5" t="s">
        <v>1413</v>
      </c>
      <c r="M577" s="1">
        <v>40467.11</v>
      </c>
    </row>
    <row r="578" spans="12:13" x14ac:dyDescent="0.3">
      <c r="L578" s="5" t="s">
        <v>1282</v>
      </c>
      <c r="M578" s="1">
        <v>40437.71</v>
      </c>
    </row>
    <row r="579" spans="12:13" x14ac:dyDescent="0.3">
      <c r="L579" s="5" t="s">
        <v>716</v>
      </c>
      <c r="M579" s="1">
        <v>40418.25</v>
      </c>
    </row>
    <row r="580" spans="12:13" x14ac:dyDescent="0.3">
      <c r="L580" s="5" t="s">
        <v>164</v>
      </c>
      <c r="M580" s="1">
        <v>40235.300000000003</v>
      </c>
    </row>
    <row r="581" spans="12:13" x14ac:dyDescent="0.3">
      <c r="L581" s="5" t="s">
        <v>640</v>
      </c>
      <c r="M581" s="1">
        <v>40224.29</v>
      </c>
    </row>
    <row r="582" spans="12:13" x14ac:dyDescent="0.3">
      <c r="L582" s="5" t="s">
        <v>1374</v>
      </c>
      <c r="M582" s="1">
        <v>40158.33</v>
      </c>
    </row>
    <row r="583" spans="12:13" x14ac:dyDescent="0.3">
      <c r="L583" s="5" t="s">
        <v>576</v>
      </c>
      <c r="M583" s="1">
        <v>40113.199999999997</v>
      </c>
    </row>
    <row r="584" spans="12:13" x14ac:dyDescent="0.3">
      <c r="L584" s="5" t="s">
        <v>1093</v>
      </c>
      <c r="M584" s="1">
        <v>39929.1</v>
      </c>
    </row>
    <row r="585" spans="12:13" x14ac:dyDescent="0.3">
      <c r="L585" s="5" t="s">
        <v>982</v>
      </c>
      <c r="M585" s="1">
        <v>39901.71</v>
      </c>
    </row>
    <row r="586" spans="12:13" x14ac:dyDescent="0.3">
      <c r="L586" s="5" t="s">
        <v>746</v>
      </c>
      <c r="M586" s="1">
        <v>39846.31</v>
      </c>
    </row>
    <row r="587" spans="12:13" x14ac:dyDescent="0.3">
      <c r="L587" s="5" t="s">
        <v>1475</v>
      </c>
      <c r="M587" s="1">
        <v>39669.69</v>
      </c>
    </row>
    <row r="588" spans="12:13" x14ac:dyDescent="0.3">
      <c r="L588" s="5" t="s">
        <v>1089</v>
      </c>
      <c r="M588" s="1">
        <v>39520.28</v>
      </c>
    </row>
    <row r="589" spans="12:13" x14ac:dyDescent="0.3">
      <c r="L589" s="5" t="s">
        <v>1314</v>
      </c>
      <c r="M589" s="1">
        <v>39338.69</v>
      </c>
    </row>
    <row r="590" spans="12:13" x14ac:dyDescent="0.3">
      <c r="L590" s="5" t="s">
        <v>1117</v>
      </c>
      <c r="M590" s="1">
        <v>39020.97</v>
      </c>
    </row>
    <row r="591" spans="12:13" x14ac:dyDescent="0.3">
      <c r="L591" s="5" t="s">
        <v>1512</v>
      </c>
      <c r="M591" s="1">
        <v>38708.1</v>
      </c>
    </row>
    <row r="592" spans="12:13" x14ac:dyDescent="0.3">
      <c r="L592" s="5" t="s">
        <v>1246</v>
      </c>
      <c r="M592" s="1">
        <v>38613.47</v>
      </c>
    </row>
    <row r="593" spans="12:13" x14ac:dyDescent="0.3">
      <c r="L593" s="5" t="s">
        <v>474</v>
      </c>
      <c r="M593" s="1">
        <v>38605.86</v>
      </c>
    </row>
    <row r="594" spans="12:13" x14ac:dyDescent="0.3">
      <c r="L594" s="5" t="s">
        <v>1422</v>
      </c>
      <c r="M594" s="1">
        <v>38594.050000000003</v>
      </c>
    </row>
    <row r="595" spans="12:13" x14ac:dyDescent="0.3">
      <c r="L595" s="5" t="s">
        <v>614</v>
      </c>
      <c r="M595" s="1">
        <v>38238.269999999997</v>
      </c>
    </row>
    <row r="596" spans="12:13" x14ac:dyDescent="0.3">
      <c r="L596" s="5" t="s">
        <v>992</v>
      </c>
      <c r="M596" s="1">
        <v>38232.080000000002</v>
      </c>
    </row>
    <row r="597" spans="12:13" x14ac:dyDescent="0.3">
      <c r="L597" s="5" t="s">
        <v>1134</v>
      </c>
      <c r="M597" s="1">
        <v>38125.56</v>
      </c>
    </row>
    <row r="598" spans="12:13" x14ac:dyDescent="0.3">
      <c r="L598" s="5" t="s">
        <v>1035</v>
      </c>
      <c r="M598" s="1">
        <v>38113.4</v>
      </c>
    </row>
    <row r="599" spans="12:13" x14ac:dyDescent="0.3">
      <c r="L599" s="5" t="s">
        <v>1025</v>
      </c>
      <c r="M599" s="1">
        <v>37932.089999999997</v>
      </c>
    </row>
    <row r="600" spans="12:13" x14ac:dyDescent="0.3">
      <c r="L600" s="5" t="s">
        <v>1241</v>
      </c>
      <c r="M600" s="1">
        <v>37929.870000000003</v>
      </c>
    </row>
    <row r="601" spans="12:13" x14ac:dyDescent="0.3">
      <c r="L601" s="5" t="s">
        <v>1548</v>
      </c>
      <c r="M601" s="1">
        <v>37911.370000000003</v>
      </c>
    </row>
    <row r="602" spans="12:13" x14ac:dyDescent="0.3">
      <c r="L602" s="5" t="s">
        <v>1238</v>
      </c>
      <c r="M602" s="1">
        <v>37851.31</v>
      </c>
    </row>
    <row r="603" spans="12:13" x14ac:dyDescent="0.3">
      <c r="L603" s="5" t="s">
        <v>1195</v>
      </c>
      <c r="M603" s="1">
        <v>37806.86</v>
      </c>
    </row>
    <row r="604" spans="12:13" x14ac:dyDescent="0.3">
      <c r="L604" s="5" t="s">
        <v>1019</v>
      </c>
      <c r="M604" s="1">
        <v>37584.959999999999</v>
      </c>
    </row>
    <row r="605" spans="12:13" x14ac:dyDescent="0.3">
      <c r="L605" s="5" t="s">
        <v>1367</v>
      </c>
      <c r="M605" s="1">
        <v>37534.639999999999</v>
      </c>
    </row>
    <row r="606" spans="12:13" x14ac:dyDescent="0.3">
      <c r="L606" s="5" t="s">
        <v>1084</v>
      </c>
      <c r="M606" s="1">
        <v>37467.269999999997</v>
      </c>
    </row>
    <row r="607" spans="12:13" x14ac:dyDescent="0.3">
      <c r="L607" s="5" t="s">
        <v>1099</v>
      </c>
      <c r="M607" s="1">
        <v>37406</v>
      </c>
    </row>
    <row r="608" spans="12:13" x14ac:dyDescent="0.3">
      <c r="L608" s="5" t="s">
        <v>1510</v>
      </c>
      <c r="M608" s="1">
        <v>37287.99</v>
      </c>
    </row>
    <row r="609" spans="12:13" x14ac:dyDescent="0.3">
      <c r="L609" s="5" t="s">
        <v>261</v>
      </c>
      <c r="M609" s="1">
        <v>37259.96</v>
      </c>
    </row>
    <row r="610" spans="12:13" x14ac:dyDescent="0.3">
      <c r="L610" s="5" t="s">
        <v>616</v>
      </c>
      <c r="M610" s="1">
        <v>36787.019999999997</v>
      </c>
    </row>
    <row r="611" spans="12:13" x14ac:dyDescent="0.3">
      <c r="L611" s="5" t="s">
        <v>1483</v>
      </c>
      <c r="M611" s="1">
        <v>36758.089999999997</v>
      </c>
    </row>
    <row r="612" spans="12:13" x14ac:dyDescent="0.3">
      <c r="L612" s="5" t="s">
        <v>424</v>
      </c>
      <c r="M612" s="1">
        <v>36657.410000000003</v>
      </c>
    </row>
    <row r="613" spans="12:13" x14ac:dyDescent="0.3">
      <c r="L613" s="5" t="s">
        <v>395</v>
      </c>
      <c r="M613" s="1">
        <v>36518.44</v>
      </c>
    </row>
    <row r="614" spans="12:13" x14ac:dyDescent="0.3">
      <c r="L614" s="5" t="s">
        <v>1048</v>
      </c>
      <c r="M614" s="1">
        <v>36506.120000000003</v>
      </c>
    </row>
    <row r="615" spans="12:13" x14ac:dyDescent="0.3">
      <c r="L615" s="5" t="s">
        <v>1145</v>
      </c>
      <c r="M615" s="1">
        <v>36027.440000000002</v>
      </c>
    </row>
    <row r="616" spans="12:13" x14ac:dyDescent="0.3">
      <c r="L616" s="5" t="s">
        <v>469</v>
      </c>
      <c r="M616" s="1">
        <v>35947.870000000003</v>
      </c>
    </row>
    <row r="617" spans="12:13" x14ac:dyDescent="0.3">
      <c r="L617" s="5" t="s">
        <v>1004</v>
      </c>
      <c r="M617" s="1">
        <v>35796.6</v>
      </c>
    </row>
    <row r="618" spans="12:13" x14ac:dyDescent="0.3">
      <c r="L618" s="5" t="s">
        <v>96</v>
      </c>
      <c r="M618" s="1">
        <v>35609.980000000003</v>
      </c>
    </row>
    <row r="619" spans="12:13" x14ac:dyDescent="0.3">
      <c r="L619" s="5" t="s">
        <v>144</v>
      </c>
      <c r="M619" s="1">
        <v>35410.339999999997</v>
      </c>
    </row>
    <row r="620" spans="12:13" x14ac:dyDescent="0.3">
      <c r="L620" s="5" t="s">
        <v>1077</v>
      </c>
      <c r="M620" s="1">
        <v>35349.68</v>
      </c>
    </row>
    <row r="621" spans="12:13" x14ac:dyDescent="0.3">
      <c r="L621" s="5" t="s">
        <v>546</v>
      </c>
      <c r="M621" s="1">
        <v>35326.120000000003</v>
      </c>
    </row>
    <row r="622" spans="12:13" x14ac:dyDescent="0.3">
      <c r="L622" s="5" t="s">
        <v>703</v>
      </c>
      <c r="M622" s="1">
        <v>35235.56</v>
      </c>
    </row>
    <row r="623" spans="12:13" x14ac:dyDescent="0.3">
      <c r="L623" s="5" t="s">
        <v>1600</v>
      </c>
      <c r="M623" s="1">
        <v>35233.46</v>
      </c>
    </row>
    <row r="624" spans="12:13" x14ac:dyDescent="0.3">
      <c r="L624" s="5" t="s">
        <v>1331</v>
      </c>
      <c r="M624" s="1">
        <v>35231.46</v>
      </c>
    </row>
    <row r="625" spans="12:13" x14ac:dyDescent="0.3">
      <c r="L625" s="5" t="s">
        <v>1521</v>
      </c>
      <c r="M625" s="1">
        <v>35121.67</v>
      </c>
    </row>
    <row r="626" spans="12:13" x14ac:dyDescent="0.3">
      <c r="L626" s="5" t="s">
        <v>1547</v>
      </c>
      <c r="M626" s="1">
        <v>35107.33</v>
      </c>
    </row>
    <row r="627" spans="12:13" x14ac:dyDescent="0.3">
      <c r="L627" s="5" t="s">
        <v>313</v>
      </c>
      <c r="M627" s="1">
        <v>35045.72</v>
      </c>
    </row>
    <row r="628" spans="12:13" x14ac:dyDescent="0.3">
      <c r="L628" s="5" t="s">
        <v>1534</v>
      </c>
      <c r="M628" s="1">
        <v>34959.910000000003</v>
      </c>
    </row>
    <row r="629" spans="12:13" x14ac:dyDescent="0.3">
      <c r="L629" s="5" t="s">
        <v>1334</v>
      </c>
      <c r="M629" s="1">
        <v>34865.919999999998</v>
      </c>
    </row>
    <row r="630" spans="12:13" x14ac:dyDescent="0.3">
      <c r="L630" s="5" t="s">
        <v>1164</v>
      </c>
      <c r="M630" s="1">
        <v>34819.32</v>
      </c>
    </row>
    <row r="631" spans="12:13" x14ac:dyDescent="0.3">
      <c r="L631" s="5" t="s">
        <v>977</v>
      </c>
      <c r="M631" s="1">
        <v>34767.949999999997</v>
      </c>
    </row>
    <row r="632" spans="12:13" x14ac:dyDescent="0.3">
      <c r="L632" s="5" t="s">
        <v>1233</v>
      </c>
      <c r="M632" s="1">
        <v>34687.14</v>
      </c>
    </row>
    <row r="633" spans="12:13" x14ac:dyDescent="0.3">
      <c r="L633" s="5" t="s">
        <v>1011</v>
      </c>
      <c r="M633" s="1">
        <v>34465.65</v>
      </c>
    </row>
    <row r="634" spans="12:13" x14ac:dyDescent="0.3">
      <c r="L634" s="5" t="s">
        <v>329</v>
      </c>
      <c r="M634" s="1">
        <v>34382.629999999997</v>
      </c>
    </row>
    <row r="635" spans="12:13" x14ac:dyDescent="0.3">
      <c r="L635" s="5" t="s">
        <v>1389</v>
      </c>
      <c r="M635" s="1">
        <v>34281.800000000003</v>
      </c>
    </row>
    <row r="636" spans="12:13" x14ac:dyDescent="0.3">
      <c r="L636" s="5" t="s">
        <v>1252</v>
      </c>
      <c r="M636" s="1">
        <v>34262.21</v>
      </c>
    </row>
    <row r="637" spans="12:13" x14ac:dyDescent="0.3">
      <c r="L637" s="5" t="s">
        <v>931</v>
      </c>
      <c r="M637" s="1">
        <v>33936.29</v>
      </c>
    </row>
    <row r="638" spans="12:13" x14ac:dyDescent="0.3">
      <c r="L638" s="5" t="s">
        <v>1298</v>
      </c>
      <c r="M638" s="1">
        <v>33911.019999999997</v>
      </c>
    </row>
    <row r="639" spans="12:13" x14ac:dyDescent="0.3">
      <c r="L639" s="5" t="s">
        <v>1073</v>
      </c>
      <c r="M639" s="1">
        <v>33861.57</v>
      </c>
    </row>
    <row r="640" spans="12:13" x14ac:dyDescent="0.3">
      <c r="L640" s="5" t="s">
        <v>1598</v>
      </c>
      <c r="M640" s="1">
        <v>33832.550000000003</v>
      </c>
    </row>
    <row r="641" spans="12:13" x14ac:dyDescent="0.3">
      <c r="L641" s="5" t="s">
        <v>1071</v>
      </c>
      <c r="M641" s="1">
        <v>33689.71</v>
      </c>
    </row>
    <row r="642" spans="12:13" x14ac:dyDescent="0.3">
      <c r="L642" s="5" t="s">
        <v>1529</v>
      </c>
      <c r="M642" s="1">
        <v>33656.050000000003</v>
      </c>
    </row>
    <row r="643" spans="12:13" x14ac:dyDescent="0.3">
      <c r="L643" s="5" t="s">
        <v>1522</v>
      </c>
      <c r="M643" s="1">
        <v>33652.839999999997</v>
      </c>
    </row>
    <row r="644" spans="12:13" x14ac:dyDescent="0.3">
      <c r="L644" s="5" t="s">
        <v>1062</v>
      </c>
      <c r="M644" s="1">
        <v>33439.67</v>
      </c>
    </row>
    <row r="645" spans="12:13" x14ac:dyDescent="0.3">
      <c r="L645" s="5" t="s">
        <v>1248</v>
      </c>
      <c r="M645" s="1">
        <v>33397.81</v>
      </c>
    </row>
    <row r="646" spans="12:13" x14ac:dyDescent="0.3">
      <c r="L646" s="5" t="s">
        <v>147</v>
      </c>
      <c r="M646" s="1">
        <v>33181.17</v>
      </c>
    </row>
    <row r="647" spans="12:13" x14ac:dyDescent="0.3">
      <c r="L647" s="5" t="s">
        <v>1058</v>
      </c>
      <c r="M647" s="1">
        <v>33162.75</v>
      </c>
    </row>
    <row r="648" spans="12:13" x14ac:dyDescent="0.3">
      <c r="L648" s="5" t="s">
        <v>881</v>
      </c>
      <c r="M648" s="1">
        <v>33037.839999999997</v>
      </c>
    </row>
    <row r="649" spans="12:13" x14ac:dyDescent="0.3">
      <c r="L649" s="5" t="s">
        <v>537</v>
      </c>
      <c r="M649" s="1">
        <v>33028.92</v>
      </c>
    </row>
    <row r="650" spans="12:13" x14ac:dyDescent="0.3">
      <c r="L650" s="5" t="s">
        <v>1464</v>
      </c>
      <c r="M650" s="1">
        <v>32773.199999999997</v>
      </c>
    </row>
    <row r="651" spans="12:13" x14ac:dyDescent="0.3">
      <c r="L651" s="5" t="s">
        <v>1346</v>
      </c>
      <c r="M651" s="1">
        <v>32602.29</v>
      </c>
    </row>
    <row r="652" spans="12:13" x14ac:dyDescent="0.3">
      <c r="L652" s="5" t="s">
        <v>911</v>
      </c>
      <c r="M652" s="1">
        <v>32428.16</v>
      </c>
    </row>
    <row r="653" spans="12:13" x14ac:dyDescent="0.3">
      <c r="L653" s="5" t="s">
        <v>692</v>
      </c>
      <c r="M653" s="1">
        <v>32248.03</v>
      </c>
    </row>
    <row r="654" spans="12:13" x14ac:dyDescent="0.3">
      <c r="L654" s="5" t="s">
        <v>1350</v>
      </c>
      <c r="M654" s="1">
        <v>32080.26</v>
      </c>
    </row>
    <row r="655" spans="12:13" x14ac:dyDescent="0.3">
      <c r="L655" s="5" t="s">
        <v>1323</v>
      </c>
      <c r="M655" s="1">
        <v>31620.75</v>
      </c>
    </row>
    <row r="656" spans="12:13" x14ac:dyDescent="0.3">
      <c r="L656" s="5" t="s">
        <v>195</v>
      </c>
      <c r="M656" s="1">
        <v>31590.49</v>
      </c>
    </row>
    <row r="657" spans="12:13" x14ac:dyDescent="0.3">
      <c r="L657" s="5" t="s">
        <v>1272</v>
      </c>
      <c r="M657" s="1">
        <v>31569.919999999998</v>
      </c>
    </row>
    <row r="658" spans="12:13" x14ac:dyDescent="0.3">
      <c r="L658" s="5" t="s">
        <v>859</v>
      </c>
      <c r="M658" s="1">
        <v>31408.78</v>
      </c>
    </row>
    <row r="659" spans="12:13" x14ac:dyDescent="0.3">
      <c r="L659" s="5" t="s">
        <v>554</v>
      </c>
      <c r="M659" s="1">
        <v>31173.7</v>
      </c>
    </row>
    <row r="660" spans="12:13" x14ac:dyDescent="0.3">
      <c r="L660" s="5" t="s">
        <v>1513</v>
      </c>
      <c r="M660" s="1">
        <v>31096.63</v>
      </c>
    </row>
    <row r="661" spans="12:13" x14ac:dyDescent="0.3">
      <c r="L661" s="5" t="s">
        <v>385</v>
      </c>
      <c r="M661" s="1">
        <v>31064.43</v>
      </c>
    </row>
    <row r="662" spans="12:13" x14ac:dyDescent="0.3">
      <c r="L662" s="5" t="s">
        <v>1274</v>
      </c>
      <c r="M662" s="1">
        <v>30964.47</v>
      </c>
    </row>
    <row r="663" spans="12:13" x14ac:dyDescent="0.3">
      <c r="L663" s="5" t="s">
        <v>1586</v>
      </c>
      <c r="M663" s="1">
        <v>30959.34</v>
      </c>
    </row>
    <row r="664" spans="12:13" x14ac:dyDescent="0.3">
      <c r="L664" s="5" t="s">
        <v>198</v>
      </c>
      <c r="M664" s="1">
        <v>30919.77</v>
      </c>
    </row>
    <row r="665" spans="12:13" x14ac:dyDescent="0.3">
      <c r="L665" s="5" t="s">
        <v>710</v>
      </c>
      <c r="M665" s="1">
        <v>30914.75</v>
      </c>
    </row>
    <row r="666" spans="12:13" x14ac:dyDescent="0.3">
      <c r="L666" s="5" t="s">
        <v>1481</v>
      </c>
      <c r="M666" s="1">
        <v>30807.55</v>
      </c>
    </row>
    <row r="667" spans="12:13" x14ac:dyDescent="0.3">
      <c r="L667" s="5" t="s">
        <v>853</v>
      </c>
      <c r="M667" s="1">
        <v>30725.48</v>
      </c>
    </row>
    <row r="668" spans="12:13" x14ac:dyDescent="0.3">
      <c r="L668" s="5" t="s">
        <v>1381</v>
      </c>
      <c r="M668" s="1">
        <v>30651.58</v>
      </c>
    </row>
    <row r="669" spans="12:13" x14ac:dyDescent="0.3">
      <c r="L669" s="5" t="s">
        <v>541</v>
      </c>
      <c r="M669" s="1">
        <v>30599.279999999999</v>
      </c>
    </row>
    <row r="670" spans="12:13" x14ac:dyDescent="0.3">
      <c r="L670" s="5" t="s">
        <v>379</v>
      </c>
      <c r="M670" s="1">
        <v>30464.22</v>
      </c>
    </row>
    <row r="671" spans="12:13" x14ac:dyDescent="0.3">
      <c r="L671" s="5" t="s">
        <v>919</v>
      </c>
      <c r="M671" s="1">
        <v>30343.23</v>
      </c>
    </row>
    <row r="672" spans="12:13" x14ac:dyDescent="0.3">
      <c r="L672" s="5" t="s">
        <v>279</v>
      </c>
      <c r="M672" s="1">
        <v>30271.919999999998</v>
      </c>
    </row>
    <row r="673" spans="12:13" x14ac:dyDescent="0.3">
      <c r="L673" s="5" t="s">
        <v>1473</v>
      </c>
      <c r="M673" s="1">
        <v>30264.7</v>
      </c>
    </row>
    <row r="674" spans="12:13" x14ac:dyDescent="0.3">
      <c r="L674" s="5" t="s">
        <v>1042</v>
      </c>
      <c r="M674" s="1">
        <v>30196.240000000002</v>
      </c>
    </row>
    <row r="675" spans="12:13" x14ac:dyDescent="0.3">
      <c r="L675" s="5" t="s">
        <v>1087</v>
      </c>
      <c r="M675" s="1">
        <v>30008.12</v>
      </c>
    </row>
    <row r="676" spans="12:13" x14ac:dyDescent="0.3">
      <c r="L676" s="5" t="s">
        <v>321</v>
      </c>
      <c r="M676" s="1">
        <v>29949.34</v>
      </c>
    </row>
    <row r="677" spans="12:13" x14ac:dyDescent="0.3">
      <c r="L677" s="5" t="s">
        <v>1517</v>
      </c>
      <c r="M677" s="1">
        <v>29864.98</v>
      </c>
    </row>
    <row r="678" spans="12:13" x14ac:dyDescent="0.3">
      <c r="L678" s="5" t="s">
        <v>949</v>
      </c>
      <c r="M678" s="1">
        <v>29790.9</v>
      </c>
    </row>
    <row r="679" spans="12:13" x14ac:dyDescent="0.3">
      <c r="L679" s="5" t="s">
        <v>1324</v>
      </c>
      <c r="M679" s="1">
        <v>29775.74</v>
      </c>
    </row>
    <row r="680" spans="12:13" x14ac:dyDescent="0.3">
      <c r="L680" s="5" t="s">
        <v>1021</v>
      </c>
      <c r="M680" s="1">
        <v>29579.67</v>
      </c>
    </row>
    <row r="681" spans="12:13" x14ac:dyDescent="0.3">
      <c r="L681" s="5" t="s">
        <v>357</v>
      </c>
      <c r="M681" s="1">
        <v>29569.33</v>
      </c>
    </row>
    <row r="682" spans="12:13" x14ac:dyDescent="0.3">
      <c r="L682" s="5" t="s">
        <v>1082</v>
      </c>
      <c r="M682" s="1">
        <v>29542.93</v>
      </c>
    </row>
    <row r="683" spans="12:13" x14ac:dyDescent="0.3">
      <c r="L683" s="5" t="s">
        <v>496</v>
      </c>
      <c r="M683" s="1">
        <v>29369.58</v>
      </c>
    </row>
    <row r="684" spans="12:13" x14ac:dyDescent="0.3">
      <c r="L684" s="5" t="s">
        <v>1423</v>
      </c>
      <c r="M684" s="1">
        <v>29329.83</v>
      </c>
    </row>
    <row r="685" spans="12:13" x14ac:dyDescent="0.3">
      <c r="L685" s="5" t="s">
        <v>768</v>
      </c>
      <c r="M685" s="1">
        <v>29273.84</v>
      </c>
    </row>
    <row r="686" spans="12:13" x14ac:dyDescent="0.3">
      <c r="L686" s="5" t="s">
        <v>158</v>
      </c>
      <c r="M686" s="1">
        <v>29212.959999999999</v>
      </c>
    </row>
    <row r="687" spans="12:13" x14ac:dyDescent="0.3">
      <c r="L687" s="5" t="s">
        <v>1524</v>
      </c>
      <c r="M687" s="1">
        <v>29186.48</v>
      </c>
    </row>
    <row r="688" spans="12:13" x14ac:dyDescent="0.3">
      <c r="L688" s="5" t="s">
        <v>960</v>
      </c>
      <c r="M688" s="1">
        <v>29164.19</v>
      </c>
    </row>
    <row r="689" spans="12:13" x14ac:dyDescent="0.3">
      <c r="L689" s="5" t="s">
        <v>236</v>
      </c>
      <c r="M689" s="1">
        <v>28972.080000000002</v>
      </c>
    </row>
    <row r="690" spans="12:13" x14ac:dyDescent="0.3">
      <c r="L690" s="5" t="s">
        <v>855</v>
      </c>
      <c r="M690" s="1">
        <v>28901.02</v>
      </c>
    </row>
    <row r="691" spans="12:13" x14ac:dyDescent="0.3">
      <c r="L691" s="5" t="s">
        <v>947</v>
      </c>
      <c r="M691" s="1">
        <v>28873.37</v>
      </c>
    </row>
    <row r="692" spans="12:13" x14ac:dyDescent="0.3">
      <c r="L692" s="5" t="s">
        <v>1605</v>
      </c>
      <c r="M692" s="1">
        <v>28774.639999999999</v>
      </c>
    </row>
    <row r="693" spans="12:13" x14ac:dyDescent="0.3">
      <c r="L693" s="5" t="s">
        <v>445</v>
      </c>
      <c r="M693" s="1">
        <v>28757.46</v>
      </c>
    </row>
    <row r="694" spans="12:13" x14ac:dyDescent="0.3">
      <c r="L694" s="5" t="s">
        <v>734</v>
      </c>
      <c r="M694" s="1">
        <v>28644.54</v>
      </c>
    </row>
    <row r="695" spans="12:13" x14ac:dyDescent="0.3">
      <c r="L695" s="5" t="s">
        <v>1441</v>
      </c>
      <c r="M695" s="1">
        <v>28516.76</v>
      </c>
    </row>
    <row r="696" spans="12:13" x14ac:dyDescent="0.3">
      <c r="L696" s="5" t="s">
        <v>1502</v>
      </c>
      <c r="M696" s="1">
        <v>28480.720000000001</v>
      </c>
    </row>
    <row r="697" spans="12:13" x14ac:dyDescent="0.3">
      <c r="L697" s="5" t="s">
        <v>1090</v>
      </c>
      <c r="M697" s="1">
        <v>28367.19</v>
      </c>
    </row>
    <row r="698" spans="12:13" x14ac:dyDescent="0.3">
      <c r="L698" s="5" t="s">
        <v>366</v>
      </c>
      <c r="M698" s="1">
        <v>27949.77</v>
      </c>
    </row>
    <row r="699" spans="12:13" x14ac:dyDescent="0.3">
      <c r="L699" s="5" t="s">
        <v>1573</v>
      </c>
      <c r="M699" s="1">
        <v>27852.65</v>
      </c>
    </row>
    <row r="700" spans="12:13" x14ac:dyDescent="0.3">
      <c r="L700" s="5" t="s">
        <v>1214</v>
      </c>
      <c r="M700" s="1">
        <v>27780.19</v>
      </c>
    </row>
    <row r="701" spans="12:13" x14ac:dyDescent="0.3">
      <c r="L701" s="5" t="s">
        <v>950</v>
      </c>
      <c r="M701" s="1">
        <v>27614.82</v>
      </c>
    </row>
    <row r="702" spans="12:13" x14ac:dyDescent="0.3">
      <c r="L702" s="5" t="s">
        <v>1100</v>
      </c>
      <c r="M702" s="1">
        <v>27552.18</v>
      </c>
    </row>
    <row r="703" spans="12:13" x14ac:dyDescent="0.3">
      <c r="L703" s="5" t="s">
        <v>92</v>
      </c>
      <c r="M703" s="1">
        <v>27155.46</v>
      </c>
    </row>
    <row r="704" spans="12:13" x14ac:dyDescent="0.3">
      <c r="L704" s="5" t="s">
        <v>969</v>
      </c>
      <c r="M704" s="1">
        <v>27123.23</v>
      </c>
    </row>
    <row r="705" spans="12:13" x14ac:dyDescent="0.3">
      <c r="L705" s="5" t="s">
        <v>1224</v>
      </c>
      <c r="M705" s="1">
        <v>26940.799999999999</v>
      </c>
    </row>
    <row r="706" spans="12:13" x14ac:dyDescent="0.3">
      <c r="L706" s="5" t="s">
        <v>1454</v>
      </c>
      <c r="M706" s="1">
        <v>26870.98</v>
      </c>
    </row>
    <row r="707" spans="12:13" x14ac:dyDescent="0.3">
      <c r="L707" s="5" t="s">
        <v>1232</v>
      </c>
      <c r="M707" s="1">
        <v>26856.01</v>
      </c>
    </row>
    <row r="708" spans="12:13" x14ac:dyDescent="0.3">
      <c r="L708" s="5" t="s">
        <v>1575</v>
      </c>
      <c r="M708" s="1">
        <v>26628.34</v>
      </c>
    </row>
    <row r="709" spans="12:13" x14ac:dyDescent="0.3">
      <c r="L709" s="5" t="s">
        <v>109</v>
      </c>
      <c r="M709" s="1">
        <v>26552.97</v>
      </c>
    </row>
    <row r="710" spans="12:13" x14ac:dyDescent="0.3">
      <c r="L710" s="5" t="s">
        <v>1439</v>
      </c>
      <c r="M710" s="1">
        <v>26531.11</v>
      </c>
    </row>
    <row r="711" spans="12:13" x14ac:dyDescent="0.3">
      <c r="L711" s="5" t="s">
        <v>1310</v>
      </c>
      <c r="M711" s="1">
        <v>26379.279999999999</v>
      </c>
    </row>
    <row r="712" spans="12:13" x14ac:dyDescent="0.3">
      <c r="L712" s="5" t="s">
        <v>1508</v>
      </c>
      <c r="M712" s="1">
        <v>26200.62</v>
      </c>
    </row>
    <row r="713" spans="12:13" x14ac:dyDescent="0.3">
      <c r="L713" s="5" t="s">
        <v>531</v>
      </c>
      <c r="M713" s="1">
        <v>26182.51</v>
      </c>
    </row>
    <row r="714" spans="12:13" x14ac:dyDescent="0.3">
      <c r="L714" s="5" t="s">
        <v>1577</v>
      </c>
      <c r="M714" s="1">
        <v>26077.9</v>
      </c>
    </row>
    <row r="715" spans="12:13" x14ac:dyDescent="0.3">
      <c r="L715" s="5" t="s">
        <v>189</v>
      </c>
      <c r="M715" s="1">
        <v>26063.040000000001</v>
      </c>
    </row>
    <row r="716" spans="12:13" x14ac:dyDescent="0.3">
      <c r="L716" s="5" t="s">
        <v>1300</v>
      </c>
      <c r="M716" s="1">
        <v>25888.71</v>
      </c>
    </row>
    <row r="717" spans="12:13" x14ac:dyDescent="0.3">
      <c r="L717" s="5" t="s">
        <v>1135</v>
      </c>
      <c r="M717" s="1">
        <v>25785.73</v>
      </c>
    </row>
    <row r="718" spans="12:13" x14ac:dyDescent="0.3">
      <c r="L718" s="5" t="s">
        <v>1391</v>
      </c>
      <c r="M718" s="1">
        <v>25658.01</v>
      </c>
    </row>
    <row r="719" spans="12:13" x14ac:dyDescent="0.3">
      <c r="L719" s="5" t="s">
        <v>989</v>
      </c>
      <c r="M719" s="1">
        <v>25402.09</v>
      </c>
    </row>
    <row r="720" spans="12:13" x14ac:dyDescent="0.3">
      <c r="L720" s="5" t="s">
        <v>1147</v>
      </c>
      <c r="M720" s="1">
        <v>25315.81</v>
      </c>
    </row>
    <row r="721" spans="12:13" x14ac:dyDescent="0.3">
      <c r="L721" s="5" t="s">
        <v>1335</v>
      </c>
      <c r="M721" s="1">
        <v>25234.48</v>
      </c>
    </row>
    <row r="722" spans="12:13" x14ac:dyDescent="0.3">
      <c r="L722" s="5" t="s">
        <v>660</v>
      </c>
      <c r="M722" s="1">
        <v>25203.57</v>
      </c>
    </row>
    <row r="723" spans="12:13" x14ac:dyDescent="0.3">
      <c r="L723" s="5" t="s">
        <v>559</v>
      </c>
      <c r="M723" s="1">
        <v>25140.13</v>
      </c>
    </row>
    <row r="724" spans="12:13" x14ac:dyDescent="0.3">
      <c r="L724" s="5" t="s">
        <v>1539</v>
      </c>
      <c r="M724" s="1">
        <v>25078.49</v>
      </c>
    </row>
    <row r="725" spans="12:13" x14ac:dyDescent="0.3">
      <c r="L725" s="5" t="s">
        <v>832</v>
      </c>
      <c r="M725" s="1">
        <v>25067.05</v>
      </c>
    </row>
    <row r="726" spans="12:13" x14ac:dyDescent="0.3">
      <c r="L726" s="5" t="s">
        <v>1205</v>
      </c>
      <c r="M726" s="1">
        <v>25026.86</v>
      </c>
    </row>
    <row r="727" spans="12:13" x14ac:dyDescent="0.3">
      <c r="L727" s="5" t="s">
        <v>1038</v>
      </c>
      <c r="M727" s="1">
        <v>24831.98</v>
      </c>
    </row>
    <row r="728" spans="12:13" x14ac:dyDescent="0.3">
      <c r="L728" s="5" t="s">
        <v>347</v>
      </c>
      <c r="M728" s="1">
        <v>24823.22</v>
      </c>
    </row>
    <row r="729" spans="12:13" x14ac:dyDescent="0.3">
      <c r="L729" s="5" t="s">
        <v>668</v>
      </c>
      <c r="M729" s="1">
        <v>24502.799999999999</v>
      </c>
    </row>
    <row r="730" spans="12:13" x14ac:dyDescent="0.3">
      <c r="L730" s="5" t="s">
        <v>334</v>
      </c>
      <c r="M730" s="1">
        <v>24494.97</v>
      </c>
    </row>
    <row r="731" spans="12:13" x14ac:dyDescent="0.3">
      <c r="L731" s="5" t="s">
        <v>1172</v>
      </c>
      <c r="M731" s="1">
        <v>24483.65</v>
      </c>
    </row>
    <row r="732" spans="12:13" x14ac:dyDescent="0.3">
      <c r="L732" s="5" t="s">
        <v>1301</v>
      </c>
      <c r="M732" s="1">
        <v>24368.09</v>
      </c>
    </row>
    <row r="733" spans="12:13" x14ac:dyDescent="0.3">
      <c r="L733" s="5" t="s">
        <v>804</v>
      </c>
      <c r="M733" s="1">
        <v>24161.56</v>
      </c>
    </row>
    <row r="734" spans="12:13" x14ac:dyDescent="0.3">
      <c r="L734" s="5" t="s">
        <v>1362</v>
      </c>
      <c r="M734" s="1">
        <v>24115.81</v>
      </c>
    </row>
    <row r="735" spans="12:13" x14ac:dyDescent="0.3">
      <c r="L735" s="5" t="s">
        <v>653</v>
      </c>
      <c r="M735" s="1">
        <v>24108.93</v>
      </c>
    </row>
    <row r="736" spans="12:13" x14ac:dyDescent="0.3">
      <c r="L736" s="5" t="s">
        <v>1427</v>
      </c>
      <c r="M736" s="1">
        <v>24003.17</v>
      </c>
    </row>
    <row r="737" spans="12:13" x14ac:dyDescent="0.3">
      <c r="L737" s="5" t="s">
        <v>1177</v>
      </c>
      <c r="M737" s="1">
        <v>23804.32</v>
      </c>
    </row>
    <row r="738" spans="12:13" x14ac:dyDescent="0.3">
      <c r="L738" s="5" t="s">
        <v>1068</v>
      </c>
      <c r="M738" s="1">
        <v>23784.62</v>
      </c>
    </row>
    <row r="739" spans="12:13" x14ac:dyDescent="0.3">
      <c r="L739" s="5" t="s">
        <v>1319</v>
      </c>
      <c r="M739" s="1">
        <v>23721.23</v>
      </c>
    </row>
    <row r="740" spans="12:13" x14ac:dyDescent="0.3">
      <c r="L740" s="5" t="s">
        <v>506</v>
      </c>
      <c r="M740" s="1">
        <v>23716.11</v>
      </c>
    </row>
    <row r="741" spans="12:13" x14ac:dyDescent="0.3">
      <c r="L741" s="5" t="s">
        <v>879</v>
      </c>
      <c r="M741" s="1">
        <v>23577.78</v>
      </c>
    </row>
    <row r="742" spans="12:13" x14ac:dyDescent="0.3">
      <c r="L742" s="5" t="s">
        <v>1290</v>
      </c>
      <c r="M742" s="1">
        <v>23466.559999999998</v>
      </c>
    </row>
    <row r="743" spans="12:13" x14ac:dyDescent="0.3">
      <c r="L743" s="5" t="s">
        <v>248</v>
      </c>
      <c r="M743" s="1">
        <v>23466.34</v>
      </c>
    </row>
    <row r="744" spans="12:13" x14ac:dyDescent="0.3">
      <c r="L744" s="5" t="s">
        <v>1580</v>
      </c>
      <c r="M744" s="1">
        <v>23466.19</v>
      </c>
    </row>
    <row r="745" spans="12:13" x14ac:dyDescent="0.3">
      <c r="L745" s="5" t="s">
        <v>720</v>
      </c>
      <c r="M745" s="1">
        <v>23336.17</v>
      </c>
    </row>
    <row r="746" spans="12:13" x14ac:dyDescent="0.3">
      <c r="L746" s="5" t="s">
        <v>913</v>
      </c>
      <c r="M746" s="1">
        <v>22787.81</v>
      </c>
    </row>
    <row r="747" spans="12:13" x14ac:dyDescent="0.3">
      <c r="L747" s="5" t="s">
        <v>1414</v>
      </c>
      <c r="M747" s="1">
        <v>22722.71</v>
      </c>
    </row>
    <row r="748" spans="12:13" x14ac:dyDescent="0.3">
      <c r="L748" s="5" t="s">
        <v>1410</v>
      </c>
      <c r="M748" s="1">
        <v>22551.66</v>
      </c>
    </row>
    <row r="749" spans="12:13" x14ac:dyDescent="0.3">
      <c r="L749" s="5" t="s">
        <v>1463</v>
      </c>
      <c r="M749" s="1">
        <v>22496.240000000002</v>
      </c>
    </row>
    <row r="750" spans="12:13" x14ac:dyDescent="0.3">
      <c r="L750" s="5" t="s">
        <v>962</v>
      </c>
      <c r="M750" s="1">
        <v>22373.86</v>
      </c>
    </row>
    <row r="751" spans="12:13" x14ac:dyDescent="0.3">
      <c r="L751" s="5" t="s">
        <v>928</v>
      </c>
      <c r="M751" s="1">
        <v>22138.42</v>
      </c>
    </row>
    <row r="752" spans="12:13" x14ac:dyDescent="0.3">
      <c r="L752" s="5" t="s">
        <v>1154</v>
      </c>
      <c r="M752" s="1">
        <v>22113.040000000001</v>
      </c>
    </row>
    <row r="753" spans="12:13" x14ac:dyDescent="0.3">
      <c r="L753" s="5" t="s">
        <v>433</v>
      </c>
      <c r="M753" s="1">
        <v>22111.81</v>
      </c>
    </row>
    <row r="754" spans="12:13" x14ac:dyDescent="0.3">
      <c r="L754" s="5" t="s">
        <v>1505</v>
      </c>
      <c r="M754" s="1">
        <v>21949.75</v>
      </c>
    </row>
    <row r="755" spans="12:13" x14ac:dyDescent="0.3">
      <c r="L755" s="5" t="s">
        <v>1293</v>
      </c>
      <c r="M755" s="1">
        <v>21946.06</v>
      </c>
    </row>
    <row r="756" spans="12:13" x14ac:dyDescent="0.3">
      <c r="L756" s="5" t="s">
        <v>172</v>
      </c>
      <c r="M756" s="1">
        <v>21910.03</v>
      </c>
    </row>
    <row r="757" spans="12:13" x14ac:dyDescent="0.3">
      <c r="L757" s="5" t="s">
        <v>774</v>
      </c>
      <c r="M757" s="1">
        <v>21661.63</v>
      </c>
    </row>
    <row r="758" spans="12:13" x14ac:dyDescent="0.3">
      <c r="L758" s="5" t="s">
        <v>271</v>
      </c>
      <c r="M758" s="1">
        <v>21223.55</v>
      </c>
    </row>
    <row r="759" spans="12:13" x14ac:dyDescent="0.3">
      <c r="L759" s="5" t="s">
        <v>851</v>
      </c>
      <c r="M759" s="1">
        <v>21189.15</v>
      </c>
    </row>
    <row r="760" spans="12:13" x14ac:dyDescent="0.3">
      <c r="L760" s="5" t="s">
        <v>770</v>
      </c>
      <c r="M760" s="1">
        <v>21183.56</v>
      </c>
    </row>
    <row r="761" spans="12:13" x14ac:dyDescent="0.3">
      <c r="L761" s="5" t="s">
        <v>1370</v>
      </c>
      <c r="M761" s="1">
        <v>21155.09</v>
      </c>
    </row>
    <row r="762" spans="12:13" x14ac:dyDescent="0.3">
      <c r="L762" s="5" t="s">
        <v>642</v>
      </c>
      <c r="M762" s="1">
        <v>21100.79</v>
      </c>
    </row>
    <row r="763" spans="12:13" x14ac:dyDescent="0.3">
      <c r="L763" s="5" t="s">
        <v>1142</v>
      </c>
      <c r="M763" s="1">
        <v>20979.73</v>
      </c>
    </row>
    <row r="764" spans="12:13" x14ac:dyDescent="0.3">
      <c r="L764" s="5" t="s">
        <v>398</v>
      </c>
      <c r="M764" s="1">
        <v>20969.48</v>
      </c>
    </row>
    <row r="765" spans="12:13" x14ac:dyDescent="0.3">
      <c r="L765" s="5" t="s">
        <v>912</v>
      </c>
      <c r="M765" s="1">
        <v>20956.68</v>
      </c>
    </row>
    <row r="766" spans="12:13" x14ac:dyDescent="0.3">
      <c r="L766" s="5" t="s">
        <v>294</v>
      </c>
      <c r="M766" s="1">
        <v>20950.32</v>
      </c>
    </row>
    <row r="767" spans="12:13" x14ac:dyDescent="0.3">
      <c r="L767" s="5" t="s">
        <v>422</v>
      </c>
      <c r="M767" s="1">
        <v>20812.29</v>
      </c>
    </row>
    <row r="768" spans="12:13" x14ac:dyDescent="0.3">
      <c r="L768" s="5" t="s">
        <v>799</v>
      </c>
      <c r="M768" s="1">
        <v>20774.18</v>
      </c>
    </row>
    <row r="769" spans="12:13" x14ac:dyDescent="0.3">
      <c r="L769" s="5" t="s">
        <v>1316</v>
      </c>
      <c r="M769" s="1">
        <v>20703.560000000001</v>
      </c>
    </row>
    <row r="770" spans="12:13" x14ac:dyDescent="0.3">
      <c r="L770" s="5" t="s">
        <v>448</v>
      </c>
      <c r="M770" s="1">
        <v>20597.38</v>
      </c>
    </row>
    <row r="771" spans="12:13" x14ac:dyDescent="0.3">
      <c r="L771" s="5" t="s">
        <v>1287</v>
      </c>
      <c r="M771" s="1">
        <v>20578.62</v>
      </c>
    </row>
    <row r="772" spans="12:13" x14ac:dyDescent="0.3">
      <c r="L772" s="5" t="s">
        <v>1103</v>
      </c>
      <c r="M772" s="1">
        <v>20569.37</v>
      </c>
    </row>
    <row r="773" spans="12:13" x14ac:dyDescent="0.3">
      <c r="L773" s="5" t="s">
        <v>526</v>
      </c>
      <c r="M773" s="1">
        <v>20550.939999999999</v>
      </c>
    </row>
    <row r="774" spans="12:13" x14ac:dyDescent="0.3">
      <c r="L774" s="5" t="s">
        <v>1075</v>
      </c>
      <c r="M774" s="1">
        <v>20462.939999999999</v>
      </c>
    </row>
    <row r="775" spans="12:13" x14ac:dyDescent="0.3">
      <c r="L775" s="5" t="s">
        <v>317</v>
      </c>
      <c r="M775" s="1">
        <v>20365.080000000002</v>
      </c>
    </row>
    <row r="776" spans="12:13" x14ac:dyDescent="0.3">
      <c r="L776" s="5" t="s">
        <v>1582</v>
      </c>
      <c r="M776" s="1">
        <v>20294.759999999998</v>
      </c>
    </row>
    <row r="777" spans="12:13" x14ac:dyDescent="0.3">
      <c r="L777" s="5" t="s">
        <v>1018</v>
      </c>
      <c r="M777" s="1">
        <v>20257.47</v>
      </c>
    </row>
    <row r="778" spans="12:13" x14ac:dyDescent="0.3">
      <c r="L778" s="5" t="s">
        <v>957</v>
      </c>
      <c r="M778" s="1">
        <v>20234.29</v>
      </c>
    </row>
    <row r="779" spans="12:13" x14ac:dyDescent="0.3">
      <c r="L779" s="5" t="s">
        <v>1027</v>
      </c>
      <c r="M779" s="1">
        <v>20184.02</v>
      </c>
    </row>
    <row r="780" spans="12:13" x14ac:dyDescent="0.3">
      <c r="L780" s="5" t="s">
        <v>1491</v>
      </c>
      <c r="M780" s="1">
        <v>20159.810000000001</v>
      </c>
    </row>
    <row r="781" spans="12:13" x14ac:dyDescent="0.3">
      <c r="L781" s="5" t="s">
        <v>727</v>
      </c>
      <c r="M781" s="1">
        <v>19993.86</v>
      </c>
    </row>
    <row r="782" spans="12:13" x14ac:dyDescent="0.3">
      <c r="L782" s="5" t="s">
        <v>1563</v>
      </c>
      <c r="M782" s="1">
        <v>19794.48</v>
      </c>
    </row>
    <row r="783" spans="12:13" x14ac:dyDescent="0.3">
      <c r="L783" s="5" t="s">
        <v>1174</v>
      </c>
      <c r="M783" s="1">
        <v>19657.53</v>
      </c>
    </row>
    <row r="784" spans="12:13" x14ac:dyDescent="0.3">
      <c r="L784" s="5" t="s">
        <v>1332</v>
      </c>
      <c r="M784" s="1">
        <v>19468.419999999998</v>
      </c>
    </row>
    <row r="785" spans="12:13" x14ac:dyDescent="0.3">
      <c r="L785" s="5" t="s">
        <v>1173</v>
      </c>
      <c r="M785" s="1">
        <v>19443.75</v>
      </c>
    </row>
    <row r="786" spans="12:13" x14ac:dyDescent="0.3">
      <c r="L786" s="5" t="s">
        <v>1121</v>
      </c>
      <c r="M786" s="1">
        <v>19128.98</v>
      </c>
    </row>
    <row r="787" spans="12:13" x14ac:dyDescent="0.3">
      <c r="L787" s="5" t="s">
        <v>638</v>
      </c>
      <c r="M787" s="1">
        <v>19109.12</v>
      </c>
    </row>
    <row r="788" spans="12:13" x14ac:dyDescent="0.3">
      <c r="L788" s="5" t="s">
        <v>875</v>
      </c>
      <c r="M788" s="1">
        <v>19005.64</v>
      </c>
    </row>
    <row r="789" spans="12:13" x14ac:dyDescent="0.3">
      <c r="L789" s="5" t="s">
        <v>136</v>
      </c>
      <c r="M789" s="1">
        <v>18917.72</v>
      </c>
    </row>
    <row r="790" spans="12:13" x14ac:dyDescent="0.3">
      <c r="L790" s="5" t="s">
        <v>1358</v>
      </c>
      <c r="M790" s="1">
        <v>18563.599999999999</v>
      </c>
    </row>
    <row r="791" spans="12:13" x14ac:dyDescent="0.3">
      <c r="L791" s="5" t="s">
        <v>1326</v>
      </c>
      <c r="M791" s="1">
        <v>18506.45</v>
      </c>
    </row>
    <row r="792" spans="12:13" x14ac:dyDescent="0.3">
      <c r="L792" s="5" t="s">
        <v>900</v>
      </c>
      <c r="M792" s="1">
        <v>18480.88</v>
      </c>
    </row>
    <row r="793" spans="12:13" x14ac:dyDescent="0.3">
      <c r="L793" s="5" t="s">
        <v>627</v>
      </c>
      <c r="M793" s="1">
        <v>18463.29</v>
      </c>
    </row>
    <row r="794" spans="12:13" x14ac:dyDescent="0.3">
      <c r="L794" s="5" t="s">
        <v>590</v>
      </c>
      <c r="M794" s="1">
        <v>18234.810000000001</v>
      </c>
    </row>
    <row r="795" spans="12:13" x14ac:dyDescent="0.3">
      <c r="L795" s="5" t="s">
        <v>1291</v>
      </c>
      <c r="M795" s="1">
        <v>18175.5</v>
      </c>
    </row>
    <row r="796" spans="12:13" x14ac:dyDescent="0.3">
      <c r="L796" s="5" t="s">
        <v>722</v>
      </c>
      <c r="M796" s="1">
        <v>18106.46</v>
      </c>
    </row>
    <row r="797" spans="12:13" x14ac:dyDescent="0.3">
      <c r="L797" s="5" t="s">
        <v>521</v>
      </c>
      <c r="M797" s="1">
        <v>17835.8</v>
      </c>
    </row>
    <row r="798" spans="12:13" x14ac:dyDescent="0.3">
      <c r="L798" s="5" t="s">
        <v>583</v>
      </c>
      <c r="M798" s="1">
        <v>17621.900000000001</v>
      </c>
    </row>
    <row r="799" spans="12:13" x14ac:dyDescent="0.3">
      <c r="L799" s="5" t="s">
        <v>795</v>
      </c>
      <c r="M799" s="1">
        <v>17463.45</v>
      </c>
    </row>
    <row r="800" spans="12:13" x14ac:dyDescent="0.3">
      <c r="L800" s="5" t="s">
        <v>1158</v>
      </c>
      <c r="M800" s="1">
        <v>17363.66</v>
      </c>
    </row>
    <row r="801" spans="12:13" x14ac:dyDescent="0.3">
      <c r="L801" s="5" t="s">
        <v>1278</v>
      </c>
      <c r="M801" s="1">
        <v>17347.52</v>
      </c>
    </row>
    <row r="802" spans="12:13" x14ac:dyDescent="0.3">
      <c r="L802" s="5" t="s">
        <v>956</v>
      </c>
      <c r="M802" s="1">
        <v>17335.400000000001</v>
      </c>
    </row>
    <row r="803" spans="12:13" x14ac:dyDescent="0.3">
      <c r="L803" s="5" t="s">
        <v>1133</v>
      </c>
      <c r="M803" s="1">
        <v>17235.03</v>
      </c>
    </row>
    <row r="804" spans="12:13" x14ac:dyDescent="0.3">
      <c r="L804" s="5" t="s">
        <v>1448</v>
      </c>
      <c r="M804" s="1">
        <v>17037.849999999999</v>
      </c>
    </row>
    <row r="805" spans="12:13" x14ac:dyDescent="0.3">
      <c r="L805" s="5" t="s">
        <v>1003</v>
      </c>
      <c r="M805" s="1">
        <v>16793.87</v>
      </c>
    </row>
    <row r="806" spans="12:13" x14ac:dyDescent="0.3">
      <c r="L806" s="5" t="s">
        <v>1446</v>
      </c>
      <c r="M806" s="1">
        <v>16629.48</v>
      </c>
    </row>
    <row r="807" spans="12:13" x14ac:dyDescent="0.3">
      <c r="L807" s="5" t="s">
        <v>1257</v>
      </c>
      <c r="M807" s="1">
        <v>16497.919999999998</v>
      </c>
    </row>
    <row r="808" spans="12:13" x14ac:dyDescent="0.3">
      <c r="L808" s="5" t="s">
        <v>344</v>
      </c>
      <c r="M808" s="1">
        <v>16326.25</v>
      </c>
    </row>
    <row r="809" spans="12:13" x14ac:dyDescent="0.3">
      <c r="L809" s="5" t="s">
        <v>830</v>
      </c>
      <c r="M809" s="1">
        <v>16277.36</v>
      </c>
    </row>
    <row r="810" spans="12:13" x14ac:dyDescent="0.3">
      <c r="L810" s="5" t="s">
        <v>821</v>
      </c>
      <c r="M810" s="1">
        <v>16127.62</v>
      </c>
    </row>
    <row r="811" spans="12:13" x14ac:dyDescent="0.3">
      <c r="L811" s="5" t="s">
        <v>1094</v>
      </c>
      <c r="M811" s="1">
        <v>16054.16</v>
      </c>
    </row>
    <row r="812" spans="12:13" x14ac:dyDescent="0.3">
      <c r="L812" s="5" t="s">
        <v>849</v>
      </c>
      <c r="M812" s="1">
        <v>15994.52</v>
      </c>
    </row>
    <row r="813" spans="12:13" x14ac:dyDescent="0.3">
      <c r="L813" s="5" t="s">
        <v>1140</v>
      </c>
      <c r="M813" s="1">
        <v>15984.33</v>
      </c>
    </row>
    <row r="814" spans="12:13" x14ac:dyDescent="0.3">
      <c r="L814" s="5" t="s">
        <v>1443</v>
      </c>
      <c r="M814" s="1">
        <v>15929.66</v>
      </c>
    </row>
    <row r="815" spans="12:13" x14ac:dyDescent="0.3">
      <c r="L815" s="5" t="s">
        <v>1371</v>
      </c>
      <c r="M815" s="1">
        <v>15884.23</v>
      </c>
    </row>
    <row r="816" spans="12:13" x14ac:dyDescent="0.3">
      <c r="L816" s="5" t="s">
        <v>925</v>
      </c>
      <c r="M816" s="1">
        <v>15737.22</v>
      </c>
    </row>
    <row r="817" spans="12:13" x14ac:dyDescent="0.3">
      <c r="L817" s="5" t="s">
        <v>1129</v>
      </c>
      <c r="M817" s="1">
        <v>15657.76</v>
      </c>
    </row>
    <row r="818" spans="12:13" x14ac:dyDescent="0.3">
      <c r="L818" s="5" t="s">
        <v>1378</v>
      </c>
      <c r="M818" s="1">
        <v>15639.09</v>
      </c>
    </row>
    <row r="819" spans="12:13" x14ac:dyDescent="0.3">
      <c r="L819" s="5" t="s">
        <v>1530</v>
      </c>
      <c r="M819" s="1">
        <v>15346.43</v>
      </c>
    </row>
    <row r="820" spans="12:13" x14ac:dyDescent="0.3">
      <c r="L820" s="5" t="s">
        <v>1336</v>
      </c>
      <c r="M820" s="1">
        <v>15343.79</v>
      </c>
    </row>
    <row r="821" spans="12:13" x14ac:dyDescent="0.3">
      <c r="L821" s="5" t="s">
        <v>1267</v>
      </c>
      <c r="M821" s="1">
        <v>15237.28</v>
      </c>
    </row>
    <row r="822" spans="12:13" x14ac:dyDescent="0.3">
      <c r="L822" s="5" t="s">
        <v>1219</v>
      </c>
      <c r="M822" s="1">
        <v>15142.26</v>
      </c>
    </row>
    <row r="823" spans="12:13" x14ac:dyDescent="0.3">
      <c r="L823" s="5" t="s">
        <v>785</v>
      </c>
      <c r="M823" s="1">
        <v>15113.55</v>
      </c>
    </row>
    <row r="824" spans="12:13" x14ac:dyDescent="0.3">
      <c r="L824" s="5" t="s">
        <v>1114</v>
      </c>
      <c r="M824" s="1">
        <v>15099.03</v>
      </c>
    </row>
    <row r="825" spans="12:13" x14ac:dyDescent="0.3">
      <c r="L825" s="5" t="s">
        <v>1467</v>
      </c>
      <c r="M825" s="1">
        <v>15058.92</v>
      </c>
    </row>
    <row r="826" spans="12:13" x14ac:dyDescent="0.3">
      <c r="L826" s="5" t="s">
        <v>593</v>
      </c>
      <c r="M826" s="1">
        <v>15032.87</v>
      </c>
    </row>
    <row r="827" spans="12:13" x14ac:dyDescent="0.3">
      <c r="L827" s="5" t="s">
        <v>1349</v>
      </c>
      <c r="M827" s="1">
        <v>14968.04</v>
      </c>
    </row>
    <row r="828" spans="12:13" x14ac:dyDescent="0.3">
      <c r="L828" s="5" t="s">
        <v>970</v>
      </c>
      <c r="M828" s="1">
        <v>14893.98</v>
      </c>
    </row>
    <row r="829" spans="12:13" x14ac:dyDescent="0.3">
      <c r="L829" s="5" t="s">
        <v>490</v>
      </c>
      <c r="M829" s="1">
        <v>14837.1</v>
      </c>
    </row>
    <row r="830" spans="12:13" x14ac:dyDescent="0.3">
      <c r="L830" s="5" t="s">
        <v>1206</v>
      </c>
      <c r="M830" s="1">
        <v>14796.13</v>
      </c>
    </row>
    <row r="831" spans="12:13" x14ac:dyDescent="0.3">
      <c r="L831" s="5" t="s">
        <v>1156</v>
      </c>
      <c r="M831" s="1">
        <v>14751.36</v>
      </c>
    </row>
    <row r="832" spans="12:13" x14ac:dyDescent="0.3">
      <c r="L832" s="5" t="s">
        <v>707</v>
      </c>
      <c r="M832" s="1">
        <v>14668.91</v>
      </c>
    </row>
    <row r="833" spans="12:13" x14ac:dyDescent="0.3">
      <c r="L833" s="5" t="s">
        <v>1338</v>
      </c>
      <c r="M833" s="1">
        <v>14415.3</v>
      </c>
    </row>
    <row r="834" spans="12:13" x14ac:dyDescent="0.3">
      <c r="L834" s="5" t="s">
        <v>1564</v>
      </c>
      <c r="M834" s="1">
        <v>14336.63</v>
      </c>
    </row>
    <row r="835" spans="12:13" x14ac:dyDescent="0.3">
      <c r="L835" s="5" t="s">
        <v>1592</v>
      </c>
      <c r="M835" s="1">
        <v>14214.99</v>
      </c>
    </row>
    <row r="836" spans="12:13" x14ac:dyDescent="0.3">
      <c r="L836" s="5" t="s">
        <v>1411</v>
      </c>
      <c r="M836" s="1">
        <v>14194.62</v>
      </c>
    </row>
    <row r="837" spans="12:13" x14ac:dyDescent="0.3">
      <c r="L837" s="5" t="s">
        <v>1161</v>
      </c>
      <c r="M837" s="1">
        <v>13666.3</v>
      </c>
    </row>
    <row r="838" spans="12:13" x14ac:dyDescent="0.3">
      <c r="L838" s="5" t="s">
        <v>633</v>
      </c>
      <c r="M838" s="1">
        <v>13487.7</v>
      </c>
    </row>
    <row r="839" spans="12:13" x14ac:dyDescent="0.3">
      <c r="L839" s="5" t="s">
        <v>534</v>
      </c>
      <c r="M839" s="1">
        <v>13468.04</v>
      </c>
    </row>
    <row r="840" spans="12:13" x14ac:dyDescent="0.3">
      <c r="L840" s="5" t="s">
        <v>917</v>
      </c>
      <c r="M840" s="1">
        <v>13366.77</v>
      </c>
    </row>
    <row r="841" spans="12:13" x14ac:dyDescent="0.3">
      <c r="L841" s="5" t="s">
        <v>701</v>
      </c>
      <c r="M841" s="1">
        <v>13327.8</v>
      </c>
    </row>
    <row r="842" spans="12:13" x14ac:dyDescent="0.3">
      <c r="L842" s="5" t="s">
        <v>985</v>
      </c>
      <c r="M842" s="1">
        <v>13269.59</v>
      </c>
    </row>
    <row r="843" spans="12:13" x14ac:dyDescent="0.3">
      <c r="L843" s="5" t="s">
        <v>1452</v>
      </c>
      <c r="M843" s="1">
        <v>13257.68</v>
      </c>
    </row>
    <row r="844" spans="12:13" x14ac:dyDescent="0.3">
      <c r="L844" s="5" t="s">
        <v>1355</v>
      </c>
      <c r="M844" s="1">
        <v>13102.7</v>
      </c>
    </row>
    <row r="845" spans="12:13" x14ac:dyDescent="0.3">
      <c r="L845" s="5" t="s">
        <v>1447</v>
      </c>
      <c r="M845" s="1">
        <v>12966.27</v>
      </c>
    </row>
    <row r="846" spans="12:13" x14ac:dyDescent="0.3">
      <c r="L846" s="5" t="s">
        <v>661</v>
      </c>
      <c r="M846" s="1">
        <v>12857.97</v>
      </c>
    </row>
    <row r="847" spans="12:13" x14ac:dyDescent="0.3">
      <c r="L847" s="5" t="s">
        <v>1321</v>
      </c>
      <c r="M847" s="1">
        <v>12648.54</v>
      </c>
    </row>
    <row r="848" spans="12:13" x14ac:dyDescent="0.3">
      <c r="L848" s="5" t="s">
        <v>974</v>
      </c>
      <c r="M848" s="1">
        <v>12582.49</v>
      </c>
    </row>
    <row r="849" spans="12:13" x14ac:dyDescent="0.3">
      <c r="L849" s="5" t="s">
        <v>1033</v>
      </c>
      <c r="M849" s="1">
        <v>12578.73</v>
      </c>
    </row>
    <row r="850" spans="12:13" x14ac:dyDescent="0.3">
      <c r="L850" s="5" t="s">
        <v>686</v>
      </c>
      <c r="M850" s="1">
        <v>12558.53</v>
      </c>
    </row>
    <row r="851" spans="12:13" x14ac:dyDescent="0.3">
      <c r="L851" s="5" t="s">
        <v>1185</v>
      </c>
      <c r="M851" s="1">
        <v>12396.45</v>
      </c>
    </row>
    <row r="852" spans="12:13" x14ac:dyDescent="0.3">
      <c r="L852" s="5" t="s">
        <v>940</v>
      </c>
      <c r="M852" s="1">
        <v>12355.48</v>
      </c>
    </row>
    <row r="853" spans="12:13" x14ac:dyDescent="0.3">
      <c r="L853" s="5" t="s">
        <v>844</v>
      </c>
      <c r="M853" s="1">
        <v>12287.74</v>
      </c>
    </row>
    <row r="854" spans="12:13" x14ac:dyDescent="0.3">
      <c r="L854" s="5" t="s">
        <v>1256</v>
      </c>
      <c r="M854" s="1">
        <v>12285.48</v>
      </c>
    </row>
    <row r="855" spans="12:13" x14ac:dyDescent="0.3">
      <c r="L855" s="5" t="s">
        <v>741</v>
      </c>
      <c r="M855" s="1">
        <v>12265.44</v>
      </c>
    </row>
    <row r="856" spans="12:13" x14ac:dyDescent="0.3">
      <c r="L856" s="5" t="s">
        <v>1009</v>
      </c>
      <c r="M856" s="1">
        <v>12241.37</v>
      </c>
    </row>
    <row r="857" spans="12:13" x14ac:dyDescent="0.3">
      <c r="L857" s="5" t="s">
        <v>1070</v>
      </c>
      <c r="M857" s="1">
        <v>12171.41</v>
      </c>
    </row>
    <row r="858" spans="12:13" x14ac:dyDescent="0.3">
      <c r="L858" s="5" t="s">
        <v>216</v>
      </c>
      <c r="M858" s="1">
        <v>12035.46</v>
      </c>
    </row>
    <row r="859" spans="12:13" x14ac:dyDescent="0.3">
      <c r="L859" s="5" t="s">
        <v>1478</v>
      </c>
      <c r="M859" s="1">
        <v>12027.15</v>
      </c>
    </row>
    <row r="860" spans="12:13" x14ac:dyDescent="0.3">
      <c r="L860" s="5" t="s">
        <v>1537</v>
      </c>
      <c r="M860" s="1">
        <v>11960.76</v>
      </c>
    </row>
    <row r="861" spans="12:13" x14ac:dyDescent="0.3">
      <c r="L861" s="5" t="s">
        <v>105</v>
      </c>
      <c r="M861" s="1">
        <v>11853.91</v>
      </c>
    </row>
    <row r="862" spans="12:13" x14ac:dyDescent="0.3">
      <c r="L862" s="5" t="s">
        <v>1104</v>
      </c>
      <c r="M862" s="1">
        <v>11832.8</v>
      </c>
    </row>
    <row r="863" spans="12:13" x14ac:dyDescent="0.3">
      <c r="L863" s="5" t="s">
        <v>1400</v>
      </c>
      <c r="M863" s="1">
        <v>11638.35</v>
      </c>
    </row>
    <row r="864" spans="12:13" x14ac:dyDescent="0.3">
      <c r="L864" s="5" t="s">
        <v>1181</v>
      </c>
      <c r="M864" s="1">
        <v>11633.69</v>
      </c>
    </row>
    <row r="865" spans="12:13" x14ac:dyDescent="0.3">
      <c r="L865" s="5" t="s">
        <v>219</v>
      </c>
      <c r="M865" s="1">
        <v>11627.67</v>
      </c>
    </row>
    <row r="866" spans="12:13" x14ac:dyDescent="0.3">
      <c r="L866" s="5" t="s">
        <v>952</v>
      </c>
      <c r="M866" s="1">
        <v>11171.55</v>
      </c>
    </row>
    <row r="867" spans="12:13" x14ac:dyDescent="0.3">
      <c r="L867" s="5" t="s">
        <v>494</v>
      </c>
      <c r="M867" s="1">
        <v>11094.51</v>
      </c>
    </row>
    <row r="868" spans="12:13" x14ac:dyDescent="0.3">
      <c r="L868" s="5" t="s">
        <v>1587</v>
      </c>
      <c r="M868" s="1">
        <v>11029.89</v>
      </c>
    </row>
    <row r="869" spans="12:13" x14ac:dyDescent="0.3">
      <c r="L869" s="5" t="s">
        <v>1311</v>
      </c>
      <c r="M869" s="1">
        <v>10907.83</v>
      </c>
    </row>
    <row r="870" spans="12:13" x14ac:dyDescent="0.3">
      <c r="L870" s="5" t="s">
        <v>1179</v>
      </c>
      <c r="M870" s="1">
        <v>10678.76</v>
      </c>
    </row>
    <row r="871" spans="12:13" x14ac:dyDescent="0.3">
      <c r="L871" s="5" t="s">
        <v>1105</v>
      </c>
      <c r="M871" s="1">
        <v>10675.19</v>
      </c>
    </row>
    <row r="872" spans="12:13" x14ac:dyDescent="0.3">
      <c r="L872" s="5" t="s">
        <v>782</v>
      </c>
      <c r="M872" s="1">
        <v>10499.27</v>
      </c>
    </row>
    <row r="873" spans="12:13" x14ac:dyDescent="0.3">
      <c r="L873" s="5" t="s">
        <v>392</v>
      </c>
      <c r="M873" s="1">
        <v>10491.52</v>
      </c>
    </row>
    <row r="874" spans="12:13" x14ac:dyDescent="0.3">
      <c r="L874" s="5" t="s">
        <v>1366</v>
      </c>
      <c r="M874" s="1">
        <v>10453.81</v>
      </c>
    </row>
    <row r="875" spans="12:13" x14ac:dyDescent="0.3">
      <c r="L875" s="5" t="s">
        <v>1569</v>
      </c>
      <c r="M875" s="1">
        <v>10451.94</v>
      </c>
    </row>
    <row r="876" spans="12:13" x14ac:dyDescent="0.3">
      <c r="L876" s="5" t="s">
        <v>1365</v>
      </c>
      <c r="M876" s="1">
        <v>10425.450000000001</v>
      </c>
    </row>
    <row r="877" spans="12:13" x14ac:dyDescent="0.3">
      <c r="L877" s="5" t="s">
        <v>1085</v>
      </c>
      <c r="M877" s="1">
        <v>10073.959999999999</v>
      </c>
    </row>
    <row r="878" spans="12:13" x14ac:dyDescent="0.3">
      <c r="L878" s="5" t="s">
        <v>1160</v>
      </c>
      <c r="M878" s="1">
        <v>9934.84</v>
      </c>
    </row>
    <row r="879" spans="12:13" x14ac:dyDescent="0.3">
      <c r="L879" s="5" t="s">
        <v>845</v>
      </c>
      <c r="M879" s="1">
        <v>9923.2199999999993</v>
      </c>
    </row>
    <row r="880" spans="12:13" x14ac:dyDescent="0.3">
      <c r="L880" s="5" t="s">
        <v>539</v>
      </c>
      <c r="M880" s="1">
        <v>9806.77</v>
      </c>
    </row>
    <row r="881" spans="12:13" x14ac:dyDescent="0.3">
      <c r="L881" s="5" t="s">
        <v>1528</v>
      </c>
      <c r="M881" s="1">
        <v>9720.76</v>
      </c>
    </row>
    <row r="882" spans="12:13" x14ac:dyDescent="0.3">
      <c r="L882" s="5" t="s">
        <v>579</v>
      </c>
      <c r="M882" s="1">
        <v>9691.1299999999992</v>
      </c>
    </row>
    <row r="883" spans="12:13" x14ac:dyDescent="0.3">
      <c r="L883" s="5" t="s">
        <v>1148</v>
      </c>
      <c r="M883" s="1">
        <v>9503.7000000000007</v>
      </c>
    </row>
    <row r="884" spans="12:13" x14ac:dyDescent="0.3">
      <c r="L884" s="5" t="s">
        <v>239</v>
      </c>
      <c r="M884" s="1">
        <v>9493.33</v>
      </c>
    </row>
    <row r="885" spans="12:13" x14ac:dyDescent="0.3">
      <c r="L885" s="5" t="s">
        <v>861</v>
      </c>
      <c r="M885" s="1">
        <v>9458.1</v>
      </c>
    </row>
    <row r="886" spans="12:13" x14ac:dyDescent="0.3">
      <c r="L886" s="5" t="s">
        <v>1403</v>
      </c>
      <c r="M886" s="1">
        <v>9437.02</v>
      </c>
    </row>
    <row r="887" spans="12:13" x14ac:dyDescent="0.3">
      <c r="L887" s="5" t="s">
        <v>1313</v>
      </c>
      <c r="M887" s="1">
        <v>9240.34</v>
      </c>
    </row>
    <row r="888" spans="12:13" x14ac:dyDescent="0.3">
      <c r="L888" s="5" t="s">
        <v>753</v>
      </c>
      <c r="M888" s="1">
        <v>9051</v>
      </c>
    </row>
    <row r="889" spans="12:13" x14ac:dyDescent="0.3">
      <c r="L889" s="5" t="s">
        <v>452</v>
      </c>
      <c r="M889" s="1">
        <v>8976.73</v>
      </c>
    </row>
    <row r="890" spans="12:13" x14ac:dyDescent="0.3">
      <c r="L890" s="5" t="s">
        <v>1409</v>
      </c>
      <c r="M890" s="1">
        <v>8975.7900000000009</v>
      </c>
    </row>
    <row r="891" spans="12:13" x14ac:dyDescent="0.3">
      <c r="L891" s="5" t="s">
        <v>683</v>
      </c>
      <c r="M891" s="1">
        <v>8969.5</v>
      </c>
    </row>
    <row r="892" spans="12:13" x14ac:dyDescent="0.3">
      <c r="L892" s="5" t="s">
        <v>1561</v>
      </c>
      <c r="M892" s="1">
        <v>8947.56</v>
      </c>
    </row>
    <row r="893" spans="12:13" x14ac:dyDescent="0.3">
      <c r="L893" s="5" t="s">
        <v>1484</v>
      </c>
      <c r="M893" s="1">
        <v>8869.9</v>
      </c>
    </row>
    <row r="894" spans="12:13" x14ac:dyDescent="0.3">
      <c r="L894" s="5" t="s">
        <v>1544</v>
      </c>
      <c r="M894" s="1">
        <v>8838.2800000000007</v>
      </c>
    </row>
    <row r="895" spans="12:13" x14ac:dyDescent="0.3">
      <c r="L895" s="5" t="s">
        <v>1501</v>
      </c>
      <c r="M895" s="1">
        <v>8778.36</v>
      </c>
    </row>
    <row r="896" spans="12:13" x14ac:dyDescent="0.3">
      <c r="L896" s="5" t="s">
        <v>672</v>
      </c>
      <c r="M896" s="1">
        <v>8758.14</v>
      </c>
    </row>
    <row r="897" spans="12:13" x14ac:dyDescent="0.3">
      <c r="L897" s="5" t="s">
        <v>485</v>
      </c>
      <c r="M897" s="1">
        <v>8575.33</v>
      </c>
    </row>
    <row r="898" spans="12:13" x14ac:dyDescent="0.3">
      <c r="L898" s="5" t="s">
        <v>1536</v>
      </c>
      <c r="M898" s="1">
        <v>8559.7000000000007</v>
      </c>
    </row>
    <row r="899" spans="12:13" x14ac:dyDescent="0.3">
      <c r="L899" s="5" t="s">
        <v>585</v>
      </c>
      <c r="M899" s="1">
        <v>8503.17</v>
      </c>
    </row>
    <row r="900" spans="12:13" x14ac:dyDescent="0.3">
      <c r="L900" s="5" t="s">
        <v>1420</v>
      </c>
      <c r="M900" s="1">
        <v>8471.91</v>
      </c>
    </row>
    <row r="901" spans="12:13" x14ac:dyDescent="0.3">
      <c r="L901" s="5" t="s">
        <v>509</v>
      </c>
      <c r="M901" s="1">
        <v>8443.32</v>
      </c>
    </row>
    <row r="902" spans="12:13" x14ac:dyDescent="0.3">
      <c r="L902" s="5" t="s">
        <v>819</v>
      </c>
      <c r="M902" s="1">
        <v>8418.17</v>
      </c>
    </row>
    <row r="903" spans="12:13" x14ac:dyDescent="0.3">
      <c r="L903" s="5" t="s">
        <v>837</v>
      </c>
      <c r="M903" s="1">
        <v>8333.42</v>
      </c>
    </row>
    <row r="904" spans="12:13" x14ac:dyDescent="0.3">
      <c r="L904" s="5" t="s">
        <v>1555</v>
      </c>
      <c r="M904" s="1">
        <v>8326.07</v>
      </c>
    </row>
    <row r="905" spans="12:13" x14ac:dyDescent="0.3">
      <c r="L905" s="5" t="s">
        <v>374</v>
      </c>
      <c r="M905" s="1">
        <v>8287.69</v>
      </c>
    </row>
    <row r="906" spans="12:13" x14ac:dyDescent="0.3">
      <c r="L906" s="5" t="s">
        <v>206</v>
      </c>
      <c r="M906" s="1">
        <v>8153.79</v>
      </c>
    </row>
    <row r="907" spans="12:13" x14ac:dyDescent="0.3">
      <c r="L907" s="5" t="s">
        <v>1490</v>
      </c>
      <c r="M907" s="1">
        <v>8115.17</v>
      </c>
    </row>
    <row r="908" spans="12:13" x14ac:dyDescent="0.3">
      <c r="L908" s="5" t="s">
        <v>352</v>
      </c>
      <c r="M908" s="1">
        <v>8094.21</v>
      </c>
    </row>
    <row r="909" spans="12:13" x14ac:dyDescent="0.3">
      <c r="L909" s="5" t="s">
        <v>1519</v>
      </c>
      <c r="M909" s="1">
        <v>7897.24</v>
      </c>
    </row>
    <row r="910" spans="12:13" x14ac:dyDescent="0.3">
      <c r="L910" s="5" t="s">
        <v>932</v>
      </c>
      <c r="M910" s="1">
        <v>7418.37</v>
      </c>
    </row>
    <row r="911" spans="12:13" x14ac:dyDescent="0.3">
      <c r="L911" s="5" t="s">
        <v>1052</v>
      </c>
      <c r="M911" s="1">
        <v>7385.45</v>
      </c>
    </row>
    <row r="912" spans="12:13" x14ac:dyDescent="0.3">
      <c r="L912" s="5" t="s">
        <v>471</v>
      </c>
      <c r="M912" s="1">
        <v>7332.35</v>
      </c>
    </row>
    <row r="913" spans="12:13" x14ac:dyDescent="0.3">
      <c r="L913" s="5" t="s">
        <v>764</v>
      </c>
      <c r="M913" s="1">
        <v>7229.1</v>
      </c>
    </row>
    <row r="914" spans="12:13" x14ac:dyDescent="0.3">
      <c r="L914" s="5" t="s">
        <v>176</v>
      </c>
      <c r="M914" s="1">
        <v>7175.24</v>
      </c>
    </row>
    <row r="915" spans="12:13" x14ac:dyDescent="0.3">
      <c r="L915" s="5" t="s">
        <v>1309</v>
      </c>
      <c r="M915" s="1">
        <v>6907.15</v>
      </c>
    </row>
    <row r="916" spans="12:13" x14ac:dyDescent="0.3">
      <c r="L916" s="5" t="s">
        <v>1430</v>
      </c>
      <c r="M916" s="1">
        <v>6905.18</v>
      </c>
    </row>
    <row r="917" spans="12:13" x14ac:dyDescent="0.3">
      <c r="L917" s="5" t="s">
        <v>1166</v>
      </c>
      <c r="M917" s="1">
        <v>6803.19</v>
      </c>
    </row>
    <row r="918" spans="12:13" x14ac:dyDescent="0.3">
      <c r="L918" s="5" t="s">
        <v>1244</v>
      </c>
      <c r="M918" s="1">
        <v>6676.02</v>
      </c>
    </row>
    <row r="919" spans="12:13" x14ac:dyDescent="0.3">
      <c r="L919" s="5" t="s">
        <v>1507</v>
      </c>
      <c r="M919" s="1">
        <v>6644.09</v>
      </c>
    </row>
    <row r="920" spans="12:13" x14ac:dyDescent="0.3">
      <c r="L920" s="5" t="s">
        <v>951</v>
      </c>
      <c r="M920" s="1">
        <v>6566.71</v>
      </c>
    </row>
    <row r="921" spans="12:13" x14ac:dyDescent="0.3">
      <c r="L921" s="5" t="s">
        <v>773</v>
      </c>
      <c r="M921" s="1">
        <v>6521.57</v>
      </c>
    </row>
    <row r="922" spans="12:13" x14ac:dyDescent="0.3">
      <c r="L922" s="5" t="s">
        <v>1327</v>
      </c>
      <c r="M922" s="1">
        <v>6486.87</v>
      </c>
    </row>
    <row r="923" spans="12:13" x14ac:dyDescent="0.3">
      <c r="L923" s="5" t="s">
        <v>1566</v>
      </c>
      <c r="M923" s="1">
        <v>6395.07</v>
      </c>
    </row>
    <row r="924" spans="12:13" x14ac:dyDescent="0.3">
      <c r="L924" s="5" t="s">
        <v>1045</v>
      </c>
      <c r="M924" s="1">
        <v>6352.88</v>
      </c>
    </row>
    <row r="925" spans="12:13" x14ac:dyDescent="0.3">
      <c r="L925" s="5" t="s">
        <v>1386</v>
      </c>
      <c r="M925" s="1">
        <v>6308.45</v>
      </c>
    </row>
    <row r="926" spans="12:13" x14ac:dyDescent="0.3">
      <c r="L926" s="5" t="s">
        <v>1571</v>
      </c>
      <c r="M926" s="1">
        <v>6255.88</v>
      </c>
    </row>
    <row r="927" spans="12:13" x14ac:dyDescent="0.3">
      <c r="L927" s="5" t="s">
        <v>436</v>
      </c>
      <c r="M927" s="1">
        <v>6061.18</v>
      </c>
    </row>
    <row r="928" spans="12:13" x14ac:dyDescent="0.3">
      <c r="L928" s="5" t="s">
        <v>1487</v>
      </c>
      <c r="M928" s="1">
        <v>6055.64</v>
      </c>
    </row>
    <row r="929" spans="12:13" x14ac:dyDescent="0.3">
      <c r="L929" s="5" t="s">
        <v>253</v>
      </c>
      <c r="M929" s="1">
        <v>6026.07</v>
      </c>
    </row>
    <row r="930" spans="12:13" x14ac:dyDescent="0.3">
      <c r="L930" s="5" t="s">
        <v>747</v>
      </c>
      <c r="M930" s="1">
        <v>5715.03</v>
      </c>
    </row>
    <row r="931" spans="12:13" x14ac:dyDescent="0.3">
      <c r="L931" s="5" t="s">
        <v>1159</v>
      </c>
      <c r="M931" s="1">
        <v>5173.24</v>
      </c>
    </row>
    <row r="932" spans="12:13" x14ac:dyDescent="0.3">
      <c r="L932" s="5" t="s">
        <v>1531</v>
      </c>
      <c r="M932" s="1">
        <v>5110.34</v>
      </c>
    </row>
    <row r="933" spans="12:13" x14ac:dyDescent="0.3">
      <c r="L933" s="5" t="s">
        <v>927</v>
      </c>
      <c r="M933" s="1">
        <v>4895.96</v>
      </c>
    </row>
    <row r="934" spans="12:13" x14ac:dyDescent="0.3">
      <c r="L934" s="5" t="s">
        <v>1131</v>
      </c>
      <c r="M934" s="1">
        <v>4842.16</v>
      </c>
    </row>
    <row r="935" spans="12:13" x14ac:dyDescent="0.3">
      <c r="L935" s="5" t="s">
        <v>543</v>
      </c>
      <c r="M935" s="1">
        <v>4771.99</v>
      </c>
    </row>
    <row r="936" spans="12:13" x14ac:dyDescent="0.3">
      <c r="L936" s="5" t="s">
        <v>1012</v>
      </c>
      <c r="M936" s="1">
        <v>4771.68</v>
      </c>
    </row>
    <row r="937" spans="12:13" x14ac:dyDescent="0.3">
      <c r="L937" s="5" t="s">
        <v>1155</v>
      </c>
      <c r="M937" s="1">
        <v>4720.8100000000004</v>
      </c>
    </row>
    <row r="938" spans="12:13" x14ac:dyDescent="0.3">
      <c r="L938" s="5" t="s">
        <v>207</v>
      </c>
      <c r="M938" s="1">
        <v>4713.38</v>
      </c>
    </row>
    <row r="939" spans="12:13" x14ac:dyDescent="0.3">
      <c r="L939" s="5" t="s">
        <v>1318</v>
      </c>
      <c r="M939" s="1">
        <v>4646.9799999999996</v>
      </c>
    </row>
    <row r="940" spans="12:13" x14ac:dyDescent="0.3">
      <c r="L940" s="5" t="s">
        <v>1202</v>
      </c>
      <c r="M940" s="1">
        <v>4511.54</v>
      </c>
    </row>
    <row r="941" spans="12:13" x14ac:dyDescent="0.3">
      <c r="L941" s="5" t="s">
        <v>594</v>
      </c>
      <c r="M941" s="1">
        <v>4350.05</v>
      </c>
    </row>
    <row r="942" spans="12:13" x14ac:dyDescent="0.3">
      <c r="L942" s="5" t="s">
        <v>890</v>
      </c>
      <c r="M942" s="1">
        <v>4237.88</v>
      </c>
    </row>
    <row r="943" spans="12:13" x14ac:dyDescent="0.3">
      <c r="L943" s="5" t="s">
        <v>1523</v>
      </c>
      <c r="M943" s="1">
        <v>4202.6400000000003</v>
      </c>
    </row>
    <row r="944" spans="12:13" x14ac:dyDescent="0.3">
      <c r="L944" s="5" t="s">
        <v>904</v>
      </c>
      <c r="M944" s="1">
        <v>4111.71</v>
      </c>
    </row>
    <row r="945" spans="12:13" x14ac:dyDescent="0.3">
      <c r="L945" s="5" t="s">
        <v>1428</v>
      </c>
      <c r="M945" s="1">
        <v>4026.18</v>
      </c>
    </row>
    <row r="946" spans="12:13" x14ac:dyDescent="0.3">
      <c r="L946" s="5" t="s">
        <v>1176</v>
      </c>
      <c r="M946" s="1">
        <v>3947.54</v>
      </c>
    </row>
    <row r="947" spans="12:13" x14ac:dyDescent="0.3">
      <c r="L947" s="5" t="s">
        <v>562</v>
      </c>
      <c r="M947" s="1">
        <v>3919.08</v>
      </c>
    </row>
    <row r="948" spans="12:13" x14ac:dyDescent="0.3">
      <c r="L948" s="5" t="s">
        <v>1122</v>
      </c>
      <c r="M948" s="1">
        <v>3685.81</v>
      </c>
    </row>
    <row r="949" spans="12:13" x14ac:dyDescent="0.3">
      <c r="L949" s="5" t="s">
        <v>1339</v>
      </c>
      <c r="M949" s="1">
        <v>3606.31</v>
      </c>
    </row>
    <row r="950" spans="12:13" x14ac:dyDescent="0.3">
      <c r="L950" s="5" t="s">
        <v>1130</v>
      </c>
      <c r="M950" s="1">
        <v>3487.83</v>
      </c>
    </row>
    <row r="951" spans="12:13" x14ac:dyDescent="0.3">
      <c r="L951" s="5" t="s">
        <v>123</v>
      </c>
      <c r="M951" s="1">
        <v>3407.63</v>
      </c>
    </row>
    <row r="952" spans="12:13" x14ac:dyDescent="0.3">
      <c r="L952" s="5" t="s">
        <v>1320</v>
      </c>
      <c r="M952" s="1">
        <v>3283.49</v>
      </c>
    </row>
    <row r="953" spans="12:13" x14ac:dyDescent="0.3">
      <c r="L953" s="5" t="s">
        <v>407</v>
      </c>
      <c r="M953" s="1">
        <v>3248.78</v>
      </c>
    </row>
    <row r="954" spans="12:13" x14ac:dyDescent="0.3">
      <c r="L954" s="5" t="s">
        <v>835</v>
      </c>
      <c r="M954" s="1">
        <v>3135.45</v>
      </c>
    </row>
    <row r="955" spans="12:13" x14ac:dyDescent="0.3">
      <c r="L955" s="5" t="s">
        <v>712</v>
      </c>
      <c r="M955" s="1">
        <v>3046.65</v>
      </c>
    </row>
    <row r="956" spans="12:13" x14ac:dyDescent="0.3">
      <c r="L956" s="5" t="s">
        <v>1589</v>
      </c>
      <c r="M956" s="1">
        <v>2973.09</v>
      </c>
    </row>
    <row r="957" spans="12:13" x14ac:dyDescent="0.3">
      <c r="L957" s="5" t="s">
        <v>401</v>
      </c>
      <c r="M957" s="1">
        <v>2942.36</v>
      </c>
    </row>
    <row r="958" spans="12:13" x14ac:dyDescent="0.3">
      <c r="L958" s="5" t="s">
        <v>263</v>
      </c>
      <c r="M958" s="1">
        <v>2915.56</v>
      </c>
    </row>
    <row r="959" spans="12:13" x14ac:dyDescent="0.3">
      <c r="L959" s="5" t="s">
        <v>304</v>
      </c>
      <c r="M959" s="1">
        <v>2876.59</v>
      </c>
    </row>
    <row r="960" spans="12:13" x14ac:dyDescent="0.3">
      <c r="L960" s="5" t="s">
        <v>1485</v>
      </c>
      <c r="M960" s="1">
        <v>2830.51</v>
      </c>
    </row>
    <row r="961" spans="12:13" x14ac:dyDescent="0.3">
      <c r="L961" s="5" t="s">
        <v>1581</v>
      </c>
      <c r="M961" s="1">
        <v>2725.66</v>
      </c>
    </row>
    <row r="962" spans="12:13" x14ac:dyDescent="0.3">
      <c r="L962" s="5" t="s">
        <v>1380</v>
      </c>
      <c r="M962" s="1">
        <v>2647.06</v>
      </c>
    </row>
    <row r="963" spans="12:13" x14ac:dyDescent="0.3">
      <c r="L963" s="5" t="s">
        <v>1102</v>
      </c>
      <c r="M963" s="1">
        <v>2561.11</v>
      </c>
    </row>
    <row r="964" spans="12:13" x14ac:dyDescent="0.3">
      <c r="L964" s="5" t="s">
        <v>1474</v>
      </c>
      <c r="M964" s="1">
        <v>2351.94</v>
      </c>
    </row>
    <row r="965" spans="12:13" x14ac:dyDescent="0.3">
      <c r="L965" s="5" t="s">
        <v>910</v>
      </c>
      <c r="M965" s="1">
        <v>2332.9299999999998</v>
      </c>
    </row>
    <row r="966" spans="12:13" x14ac:dyDescent="0.3">
      <c r="L966" s="5" t="s">
        <v>463</v>
      </c>
      <c r="M966" s="1">
        <v>2321.25</v>
      </c>
    </row>
    <row r="967" spans="12:13" x14ac:dyDescent="0.3">
      <c r="L967" s="5" t="s">
        <v>750</v>
      </c>
      <c r="M967" s="1">
        <v>2130.59</v>
      </c>
    </row>
    <row r="968" spans="12:13" x14ac:dyDescent="0.3">
      <c r="L968" s="5" t="s">
        <v>1472</v>
      </c>
      <c r="M968" s="1">
        <v>1709.13</v>
      </c>
    </row>
    <row r="969" spans="12:13" x14ac:dyDescent="0.3">
      <c r="L969" s="5" t="s">
        <v>26</v>
      </c>
      <c r="M969" s="1">
        <v>1698.61</v>
      </c>
    </row>
    <row r="970" spans="12:13" x14ac:dyDescent="0.3">
      <c r="L970" s="5" t="s">
        <v>1495</v>
      </c>
      <c r="M970" s="1">
        <v>1591.25</v>
      </c>
    </row>
    <row r="971" spans="12:13" x14ac:dyDescent="0.3">
      <c r="L971" s="5" t="s">
        <v>354</v>
      </c>
      <c r="M971" s="1">
        <v>1567.62</v>
      </c>
    </row>
    <row r="972" spans="12:13" x14ac:dyDescent="0.3">
      <c r="L972" s="5" t="s">
        <v>1213</v>
      </c>
      <c r="M972" s="1">
        <v>1125.21</v>
      </c>
    </row>
    <row r="973" spans="12:13" x14ac:dyDescent="0.3">
      <c r="L973" s="5" t="s">
        <v>1500</v>
      </c>
      <c r="M973" s="1">
        <v>1109.4100000000001</v>
      </c>
    </row>
    <row r="974" spans="12:13" x14ac:dyDescent="0.3">
      <c r="L974" s="5" t="s">
        <v>1576</v>
      </c>
      <c r="M974" s="1">
        <v>1089.6300000000001</v>
      </c>
    </row>
    <row r="975" spans="12:13" x14ac:dyDescent="0.3">
      <c r="L975" s="5" t="s">
        <v>1283</v>
      </c>
      <c r="M975" s="1">
        <v>1011.99</v>
      </c>
    </row>
    <row r="976" spans="12:13" x14ac:dyDescent="0.3">
      <c r="L976" s="5" t="s">
        <v>1024</v>
      </c>
      <c r="M976" s="1">
        <v>983.64</v>
      </c>
    </row>
    <row r="977" spans="12:13" x14ac:dyDescent="0.3">
      <c r="L977" s="5" t="s">
        <v>1209</v>
      </c>
      <c r="M977" s="1">
        <v>877.93</v>
      </c>
    </row>
    <row r="978" spans="12:13" x14ac:dyDescent="0.3">
      <c r="L978" s="5" t="s">
        <v>269</v>
      </c>
      <c r="M978" s="1">
        <v>714.55</v>
      </c>
    </row>
    <row r="979" spans="12:13" x14ac:dyDescent="0.3">
      <c r="L979" s="5" t="s">
        <v>1146</v>
      </c>
      <c r="M979" s="1">
        <v>616.37</v>
      </c>
    </row>
    <row r="980" spans="12:13" x14ac:dyDescent="0.3">
      <c r="L980" s="5" t="s">
        <v>1615</v>
      </c>
      <c r="M980" s="1">
        <v>45062703.310000047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E8F12-D39A-4FF6-B2FB-43BC47F6F3F9}">
  <dimension ref="A1:AA2"/>
  <sheetViews>
    <sheetView showGridLines="0" tabSelected="1" topLeftCell="K17" zoomScaleNormal="100" workbookViewId="0">
      <selection activeCell="AA31" sqref="AA31"/>
    </sheetView>
  </sheetViews>
  <sheetFormatPr defaultRowHeight="14.4" x14ac:dyDescent="0.3"/>
  <sheetData>
    <row r="1" spans="1:27" ht="36.6" x14ac:dyDescent="0.7">
      <c r="A1" s="7" t="s">
        <v>1628</v>
      </c>
      <c r="B1" s="7"/>
      <c r="C1" s="7"/>
      <c r="D1" s="7"/>
      <c r="E1" s="7"/>
      <c r="F1" s="7"/>
      <c r="G1" s="7"/>
      <c r="H1" s="7"/>
      <c r="I1" s="7"/>
      <c r="J1" s="7"/>
      <c r="K1" s="7"/>
      <c r="L1" s="7"/>
      <c r="M1" s="7"/>
      <c r="N1" s="7"/>
      <c r="O1" s="7"/>
      <c r="P1" s="7"/>
      <c r="Q1" s="7"/>
      <c r="R1" s="7"/>
      <c r="S1" s="7"/>
      <c r="T1" s="7"/>
      <c r="U1" s="7"/>
      <c r="V1" s="7"/>
      <c r="W1" s="7"/>
      <c r="X1" s="7"/>
      <c r="Y1" s="7"/>
      <c r="Z1" s="7"/>
      <c r="AA1" s="5"/>
    </row>
    <row r="2" spans="1:27" ht="31.2" customHeight="1" x14ac:dyDescent="0.6">
      <c r="A2" s="8" t="s">
        <v>1629</v>
      </c>
      <c r="B2" s="8"/>
      <c r="C2" s="8"/>
      <c r="D2" s="8"/>
      <c r="E2" s="8"/>
      <c r="F2" s="8"/>
      <c r="G2" s="8"/>
      <c r="H2" s="8"/>
      <c r="I2" s="8"/>
      <c r="J2" s="8"/>
      <c r="K2" s="8"/>
      <c r="L2" s="8"/>
      <c r="M2" s="8"/>
      <c r="N2" s="8"/>
      <c r="O2" s="8"/>
      <c r="P2" s="8"/>
      <c r="Q2" s="8"/>
      <c r="R2" s="8"/>
      <c r="S2" s="8"/>
      <c r="T2" s="8"/>
      <c r="U2" s="8"/>
      <c r="V2" s="8"/>
      <c r="W2" s="8"/>
      <c r="X2" s="8"/>
      <c r="Y2" s="8"/>
      <c r="Z2" s="8"/>
    </row>
  </sheetData>
  <mergeCells count="2">
    <mergeCell ref="A1:Z1"/>
    <mergeCell ref="A2:Z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Sales_Data</vt:lpstr>
      <vt:lpstr>Pivot</vt:lpstr>
      <vt:lpstr>Dashboard</vt: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rmynk14@gmail.com</cp:lastModifiedBy>
  <dcterms:created xsi:type="dcterms:W3CDTF">2026-07-21T17:25:55Z</dcterms:created>
  <dcterms:modified xsi:type="dcterms:W3CDTF">2026-07-21T20:19:00Z</dcterms:modified>
</cp:coreProperties>
</file>